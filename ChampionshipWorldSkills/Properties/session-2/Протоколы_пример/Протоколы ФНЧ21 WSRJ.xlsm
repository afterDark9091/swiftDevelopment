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Загрузки\"/>
    </mc:Choice>
  </mc:AlternateContent>
  <xr:revisionPtr revIDLastSave="0" documentId="8_{C84A55F0-A3FE-0C48-AAB7-54559C6DDF15}" xr6:coauthVersionLast="47" xr6:coauthVersionMax="47" xr10:uidLastSave="{00000000-0000-0000-0000-000000000000}"/>
  <bookViews>
    <workbookView xWindow="1785" yWindow="5805" windowWidth="28800" windowHeight="15555" tabRatio="925" activeTab="2" xr2:uid="{00000000-000D-0000-FFFF-FFFF00000000}"/>
  </bookViews>
  <sheets>
    <sheet name="Инструкция" sheetId="20" r:id="rId1"/>
    <sheet name="Чемп" sheetId="2" r:id="rId2"/>
    <sheet name="Experts" sheetId="3" r:id="rId3"/>
    <sheet name="Competitors" sheetId="6" r:id="rId4"/>
    <sheet name="Э_Рег" sheetId="8" r:id="rId5"/>
    <sheet name="Э_ТОиТБ" sheetId="1" r:id="rId6"/>
    <sheet name="Э_30%" sheetId="10" r:id="rId7"/>
    <sheet name="Э_Ведом" sheetId="7" r:id="rId8"/>
    <sheet name="Э_Роли" sheetId="9" r:id="rId9"/>
    <sheet name="У_Рег" sheetId="11" r:id="rId10"/>
    <sheet name="У_ТОиТБ" sheetId="4" r:id="rId11"/>
    <sheet name="У_Жереб" sheetId="12" r:id="rId12"/>
    <sheet name="У_РабМеста" sheetId="15" r:id="rId13"/>
    <sheet name="Э_РегЕжедн" sheetId="21" state="hidden" r:id="rId14"/>
    <sheet name="У_РегЕжедн" sheetId="22" state="hidden" r:id="rId15"/>
    <sheet name="У_НДок" sheetId="13" r:id="rId16"/>
    <sheet name="У_КДок" sheetId="14" r:id="rId17"/>
    <sheet name="У_Тулбокс" sheetId="16" r:id="rId18"/>
    <sheet name="ВнешСит" sheetId="17" r:id="rId19"/>
    <sheet name="УчетВремени" sheetId="18" r:id="rId20"/>
    <sheet name="ПожБез" sheetId="24" state="hidden" r:id="rId21"/>
  </sheets>
  <definedNames>
    <definedName name="_xlnm.Print_Area" localSheetId="18">ВнешСит!$B$1:$AE$34</definedName>
    <definedName name="_xlnm.Print_Area" localSheetId="20">ПожБез!$B$1:$AE$12</definedName>
    <definedName name="_xlnm.Print_Area" localSheetId="11">У_Жереб!$B$1:$AE$39</definedName>
    <definedName name="_xlnm.Print_Area" localSheetId="16">У_КДок!$B$1:$AE$37</definedName>
    <definedName name="_xlnm.Print_Area" localSheetId="15">У_НДок!$B$1:$AE$37</definedName>
    <definedName name="_xlnm.Print_Area" localSheetId="12">У_РабМеста!$B$1:$AE$37</definedName>
    <definedName name="_xlnm.Print_Area" localSheetId="9">У_Рег!$B$1:$AE$38</definedName>
    <definedName name="_xlnm.Print_Area" localSheetId="14">У_РегЕжедн!$A$1:$AD$35</definedName>
    <definedName name="_xlnm.Print_Area" localSheetId="10">У_ТОиТБ!$B$1:$AE$36</definedName>
    <definedName name="_xlnm.Print_Area" localSheetId="17">У_Тулбокс!$B$1:$AE$38</definedName>
    <definedName name="_xlnm.Print_Area" localSheetId="19">УчетВремени!$B$1:$AE$32</definedName>
    <definedName name="_xlnm.Print_Area" localSheetId="6">'Э_30%'!$A$1:$AD$37</definedName>
    <definedName name="_xlnm.Print_Area" localSheetId="7">Э_Ведом!$A$1:$AD$33</definedName>
    <definedName name="_xlnm.Print_Area" localSheetId="4">Э_Рег!$A$1:$AD$35</definedName>
    <definedName name="_xlnm.Print_Area" localSheetId="13">Э_РегЕжедн!$A$1:$AF$31</definedName>
    <definedName name="_xlnm.Print_Area" localSheetId="8">Э_Роли!$B$1:$AE$36</definedName>
    <definedName name="_xlnm.Print_Area" localSheetId="5">Э_ТОиТБ!$B$1:$AE$37</definedName>
    <definedName name="Эксперты">Experts!$E$1:$L$50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24" l="1"/>
  <c r="K5" i="24"/>
  <c r="K4" i="24"/>
  <c r="F35" i="4"/>
  <c r="F37" i="11"/>
  <c r="F36" i="1"/>
  <c r="E34" i="8"/>
  <c r="F37" i="16"/>
  <c r="F36" i="14"/>
  <c r="F36" i="13"/>
  <c r="E32" i="7"/>
  <c r="F35" i="9"/>
  <c r="F36" i="15"/>
  <c r="F38" i="12"/>
  <c r="B6" i="1"/>
  <c r="F6" i="6"/>
  <c r="D14" i="11"/>
  <c r="F7" i="6"/>
  <c r="D15" i="11"/>
  <c r="H6" i="3"/>
  <c r="H7" i="3"/>
  <c r="H8" i="3"/>
  <c r="H9" i="3"/>
  <c r="G6" i="3"/>
  <c r="G7" i="3"/>
  <c r="G8" i="3"/>
  <c r="I8" i="3"/>
  <c r="B22" i="9"/>
  <c r="G9" i="3"/>
  <c r="I9" i="3"/>
  <c r="B23" i="9"/>
  <c r="F6" i="3"/>
  <c r="D15" i="16"/>
  <c r="F7" i="3"/>
  <c r="C14" i="21"/>
  <c r="F8" i="3"/>
  <c r="C17" i="7"/>
  <c r="F9" i="3"/>
  <c r="C18" i="10"/>
  <c r="C15" i="7"/>
  <c r="C15" i="21"/>
  <c r="I6" i="3"/>
  <c r="B20" i="9"/>
  <c r="V7" i="22"/>
  <c r="P7" i="22"/>
  <c r="M5" i="22"/>
  <c r="J4" i="22"/>
  <c r="J3" i="22"/>
  <c r="AA7" i="21"/>
  <c r="M5" i="21"/>
  <c r="J4" i="21"/>
  <c r="J3" i="21"/>
  <c r="N6" i="18"/>
  <c r="K5" i="18"/>
  <c r="K4" i="18"/>
  <c r="N6" i="17"/>
  <c r="K5" i="17"/>
  <c r="K4" i="17"/>
  <c r="N6" i="16"/>
  <c r="K5" i="16"/>
  <c r="K4" i="16"/>
  <c r="N6" i="15"/>
  <c r="K5" i="15"/>
  <c r="K4" i="15"/>
  <c r="N6" i="14"/>
  <c r="K5" i="14"/>
  <c r="K4" i="14"/>
  <c r="N6" i="13"/>
  <c r="K5" i="13"/>
  <c r="K4" i="13"/>
  <c r="N6" i="12"/>
  <c r="K5" i="12"/>
  <c r="K4" i="12"/>
  <c r="N5" i="11"/>
  <c r="K4" i="11"/>
  <c r="K3" i="11"/>
  <c r="E36" i="10"/>
  <c r="M6" i="10"/>
  <c r="J5" i="10"/>
  <c r="J4" i="10"/>
  <c r="G2" i="3"/>
  <c r="H2" i="3"/>
  <c r="I2" i="3"/>
  <c r="B9" i="9"/>
  <c r="G3" i="3"/>
  <c r="H3" i="3"/>
  <c r="I3" i="3"/>
  <c r="B12" i="9"/>
  <c r="G4" i="3"/>
  <c r="H4" i="3"/>
  <c r="I4" i="3"/>
  <c r="G5" i="3"/>
  <c r="H5" i="3"/>
  <c r="G10" i="3"/>
  <c r="H10" i="3"/>
  <c r="I10" i="3"/>
  <c r="B24" i="9"/>
  <c r="G11" i="3"/>
  <c r="H11" i="3"/>
  <c r="I11" i="3"/>
  <c r="B25" i="9"/>
  <c r="G12" i="3"/>
  <c r="H12" i="3"/>
  <c r="G13" i="3"/>
  <c r="H13" i="3"/>
  <c r="I13" i="3"/>
  <c r="B27" i="9"/>
  <c r="G14" i="3"/>
  <c r="H14" i="3"/>
  <c r="I14" i="3"/>
  <c r="B28" i="9"/>
  <c r="G15" i="3"/>
  <c r="H15" i="3"/>
  <c r="I15" i="3"/>
  <c r="B29" i="9"/>
  <c r="G16" i="3"/>
  <c r="H16" i="3"/>
  <c r="G17" i="3"/>
  <c r="H17" i="3"/>
  <c r="I17" i="3"/>
  <c r="B31" i="9"/>
  <c r="G18" i="3"/>
  <c r="H18" i="3"/>
  <c r="G19" i="3"/>
  <c r="H19" i="3"/>
  <c r="G20" i="3"/>
  <c r="H20" i="3"/>
  <c r="I20" i="3"/>
  <c r="G21" i="3"/>
  <c r="H21" i="3"/>
  <c r="G22" i="3"/>
  <c r="H22" i="3"/>
  <c r="I22" i="3"/>
  <c r="G23" i="3"/>
  <c r="H23" i="3"/>
  <c r="G24" i="3"/>
  <c r="H24" i="3"/>
  <c r="G25" i="3"/>
  <c r="H25" i="3"/>
  <c r="I25" i="3"/>
  <c r="G26" i="3"/>
  <c r="H26" i="3"/>
  <c r="I26" i="3"/>
  <c r="G27" i="3"/>
  <c r="H27" i="3"/>
  <c r="I27" i="3"/>
  <c r="G28" i="3"/>
  <c r="H28" i="3"/>
  <c r="I28" i="3"/>
  <c r="G29" i="3"/>
  <c r="H29" i="3"/>
  <c r="G30" i="3"/>
  <c r="H30" i="3"/>
  <c r="G31" i="3"/>
  <c r="H31" i="3"/>
  <c r="G32" i="3"/>
  <c r="H32" i="3"/>
  <c r="G33" i="3"/>
  <c r="H33" i="3"/>
  <c r="I33" i="3"/>
  <c r="G34" i="3"/>
  <c r="H34" i="3"/>
  <c r="I34" i="3"/>
  <c r="G35" i="3"/>
  <c r="H35" i="3"/>
  <c r="G36" i="3"/>
  <c r="H36" i="3"/>
  <c r="G37" i="3"/>
  <c r="H37" i="3"/>
  <c r="G38" i="3"/>
  <c r="H38" i="3"/>
  <c r="G39" i="3"/>
  <c r="H39" i="3"/>
  <c r="I39" i="3"/>
  <c r="G40" i="3"/>
  <c r="H40" i="3"/>
  <c r="I40" i="3"/>
  <c r="G41" i="3"/>
  <c r="H41" i="3"/>
  <c r="I41" i="3"/>
  <c r="G42" i="3"/>
  <c r="H42" i="3"/>
  <c r="G43" i="3"/>
  <c r="H43" i="3"/>
  <c r="I43" i="3"/>
  <c r="G44" i="3"/>
  <c r="H44" i="3"/>
  <c r="I44" i="3"/>
  <c r="G45" i="3"/>
  <c r="H45" i="3"/>
  <c r="I45" i="3"/>
  <c r="G46" i="3"/>
  <c r="H46" i="3"/>
  <c r="I46" i="3"/>
  <c r="G47" i="3"/>
  <c r="H47" i="3"/>
  <c r="G48" i="3"/>
  <c r="H48" i="3"/>
  <c r="I48" i="3"/>
  <c r="G49" i="3"/>
  <c r="H49" i="3"/>
  <c r="I49" i="3"/>
  <c r="G50" i="3"/>
  <c r="H50" i="3"/>
  <c r="I50" i="3"/>
  <c r="H1" i="3"/>
  <c r="G1" i="3"/>
  <c r="I1" i="3"/>
  <c r="N5" i="9"/>
  <c r="K4" i="9"/>
  <c r="K3" i="9"/>
  <c r="M5" i="8"/>
  <c r="J4" i="8"/>
  <c r="J3" i="8"/>
  <c r="M6" i="7"/>
  <c r="J5" i="7"/>
  <c r="J4" i="7"/>
  <c r="I37" i="3"/>
  <c r="I29" i="3"/>
  <c r="I21" i="3"/>
  <c r="I5" i="3"/>
  <c r="B19" i="9"/>
  <c r="I38" i="3"/>
  <c r="I32" i="3"/>
  <c r="I16" i="3"/>
  <c r="B30" i="9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D36" i="12"/>
  <c r="F24" i="6"/>
  <c r="D35" i="12"/>
  <c r="F23" i="6"/>
  <c r="D34" i="12"/>
  <c r="F22" i="6"/>
  <c r="D33" i="4"/>
  <c r="F21" i="6"/>
  <c r="D32" i="12"/>
  <c r="F20" i="6"/>
  <c r="D31" i="12"/>
  <c r="F19" i="6"/>
  <c r="D30" i="12"/>
  <c r="F18" i="6"/>
  <c r="D29" i="12"/>
  <c r="F17" i="6"/>
  <c r="D28" i="12"/>
  <c r="F16" i="6"/>
  <c r="D25" i="14"/>
  <c r="F15" i="6"/>
  <c r="D26" i="12"/>
  <c r="F14" i="6"/>
  <c r="D22" i="11"/>
  <c r="F13" i="6"/>
  <c r="C20" i="22"/>
  <c r="F12" i="6"/>
  <c r="D20" i="11"/>
  <c r="F11" i="6"/>
  <c r="C18" i="22"/>
  <c r="D19" i="11"/>
  <c r="F10" i="6"/>
  <c r="D18" i="11"/>
  <c r="F9" i="6"/>
  <c r="D20" i="4"/>
  <c r="F8" i="6"/>
  <c r="D19" i="12"/>
  <c r="F5" i="6"/>
  <c r="F4" i="6"/>
  <c r="D13" i="4"/>
  <c r="F3" i="6"/>
  <c r="D11" i="11"/>
  <c r="F2" i="6"/>
  <c r="F1" i="6"/>
  <c r="C8" i="22"/>
  <c r="N6" i="4"/>
  <c r="K5" i="4"/>
  <c r="K4" i="4"/>
  <c r="F17" i="3"/>
  <c r="D26" i="1"/>
  <c r="F18" i="3"/>
  <c r="D27" i="16"/>
  <c r="F19" i="3"/>
  <c r="D28" i="16"/>
  <c r="F20" i="3"/>
  <c r="D29" i="16"/>
  <c r="F21" i="3"/>
  <c r="D30" i="16"/>
  <c r="F22" i="3"/>
  <c r="D31" i="16"/>
  <c r="F23" i="3"/>
  <c r="D32" i="16"/>
  <c r="F24" i="3"/>
  <c r="D33" i="16"/>
  <c r="F25" i="3"/>
  <c r="C32" i="8"/>
  <c r="F26" i="3"/>
  <c r="D35" i="16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2" i="3"/>
  <c r="D11" i="16"/>
  <c r="F3" i="3"/>
  <c r="D12" i="16"/>
  <c r="F4" i="3"/>
  <c r="D13" i="16"/>
  <c r="F5" i="3"/>
  <c r="C12" i="21"/>
  <c r="F10" i="3"/>
  <c r="D19" i="16"/>
  <c r="F11" i="3"/>
  <c r="D20" i="16"/>
  <c r="F12" i="3"/>
  <c r="D21" i="16"/>
  <c r="F13" i="3"/>
  <c r="D22" i="16"/>
  <c r="F14" i="3"/>
  <c r="D23" i="16"/>
  <c r="F15" i="3"/>
  <c r="D24" i="1"/>
  <c r="F16" i="3"/>
  <c r="D25" i="16"/>
  <c r="F1" i="3"/>
  <c r="D10" i="16"/>
  <c r="N6" i="1"/>
  <c r="K5" i="1"/>
  <c r="K4" i="1"/>
  <c r="B16" i="9"/>
  <c r="C9" i="22"/>
  <c r="D10" i="11"/>
  <c r="C18" i="21"/>
  <c r="C20" i="7"/>
  <c r="D14" i="4"/>
  <c r="D13" i="11"/>
  <c r="D15" i="13"/>
  <c r="D15" i="14"/>
  <c r="C13" i="22"/>
  <c r="D15" i="15"/>
  <c r="D15" i="12"/>
  <c r="D15" i="4"/>
  <c r="D16" i="12"/>
  <c r="D16" i="4"/>
  <c r="C15" i="8"/>
  <c r="C13" i="8"/>
  <c r="C16" i="8"/>
  <c r="C21" i="10"/>
  <c r="C17" i="10"/>
  <c r="C13" i="10"/>
  <c r="D34" i="1"/>
  <c r="C30" i="10"/>
  <c r="C17" i="22"/>
  <c r="D21" i="12"/>
  <c r="D19" i="14"/>
  <c r="D19" i="13"/>
  <c r="D23" i="15"/>
  <c r="D23" i="14"/>
  <c r="D23" i="13"/>
  <c r="D27" i="15"/>
  <c r="D27" i="14"/>
  <c r="D28" i="11"/>
  <c r="C29" i="22"/>
  <c r="D29" i="4"/>
  <c r="D25" i="4"/>
  <c r="D21" i="4"/>
  <c r="C27" i="21"/>
  <c r="C33" i="10"/>
  <c r="C14" i="22"/>
  <c r="D16" i="15"/>
  <c r="D16" i="14"/>
  <c r="D16" i="13"/>
  <c r="D18" i="12"/>
  <c r="D20" i="15"/>
  <c r="D20" i="14"/>
  <c r="D20" i="13"/>
  <c r="D22" i="12"/>
  <c r="D24" i="14"/>
  <c r="D24" i="13"/>
  <c r="D32" i="15"/>
  <c r="D32" i="14"/>
  <c r="D32" i="13"/>
  <c r="D33" i="11"/>
  <c r="C15" i="10"/>
  <c r="C32" i="10"/>
  <c r="D17" i="1"/>
  <c r="D17" i="13"/>
  <c r="D21" i="15"/>
  <c r="D21" i="14"/>
  <c r="D21" i="13"/>
  <c r="D25" i="15"/>
  <c r="D26" i="11"/>
  <c r="C27" i="22"/>
  <c r="C31" i="22"/>
  <c r="D33" i="15"/>
  <c r="D33" i="14"/>
  <c r="D33" i="13"/>
  <c r="D34" i="11"/>
  <c r="D23" i="4"/>
  <c r="D10" i="1"/>
  <c r="D18" i="1"/>
  <c r="D31" i="1"/>
  <c r="C31" i="10"/>
  <c r="C21" i="21"/>
  <c r="D30" i="1"/>
  <c r="D23" i="11"/>
  <c r="C28" i="22"/>
  <c r="D31" i="11"/>
  <c r="D30" i="15"/>
  <c r="D30" i="14"/>
  <c r="D30" i="13"/>
  <c r="C32" i="22"/>
  <c r="D34" i="13"/>
  <c r="D22" i="4"/>
  <c r="C12" i="22"/>
  <c r="D14" i="15"/>
  <c r="D14" i="14"/>
  <c r="D14" i="12"/>
  <c r="D14" i="13"/>
  <c r="C11" i="22"/>
  <c r="D13" i="13"/>
  <c r="D13" i="12"/>
  <c r="D12" i="15"/>
  <c r="D12" i="4"/>
  <c r="D10" i="14"/>
  <c r="C14" i="10"/>
  <c r="D11" i="15"/>
  <c r="D11" i="12"/>
  <c r="D11" i="14"/>
  <c r="D11" i="13"/>
  <c r="D11" i="4"/>
  <c r="C31" i="8"/>
  <c r="C29" i="7"/>
  <c r="C28" i="7"/>
  <c r="C30" i="8"/>
  <c r="D33" i="1"/>
  <c r="C12" i="7"/>
  <c r="N7" i="1"/>
  <c r="C21" i="8"/>
  <c r="C17" i="8"/>
  <c r="C20" i="8"/>
  <c r="C14" i="7"/>
  <c r="C29" i="8"/>
  <c r="C25" i="8"/>
  <c r="C23" i="7"/>
  <c r="D15" i="1"/>
  <c r="D20" i="1"/>
  <c r="D29" i="1"/>
  <c r="C28" i="8"/>
  <c r="C26" i="7"/>
  <c r="D23" i="1"/>
  <c r="D32" i="1"/>
  <c r="C13" i="7"/>
  <c r="D34" i="14"/>
  <c r="C24" i="7"/>
  <c r="D13" i="14"/>
  <c r="D35" i="11"/>
  <c r="D22" i="15"/>
  <c r="D22" i="1"/>
  <c r="D23" i="12"/>
  <c r="C23" i="10"/>
  <c r="C22" i="22"/>
  <c r="D24" i="11"/>
  <c r="D28" i="4"/>
  <c r="I47" i="3"/>
  <c r="I35" i="3"/>
  <c r="I23" i="3"/>
  <c r="D18" i="13"/>
  <c r="C16" i="22"/>
  <c r="C19" i="22"/>
  <c r="D25" i="12"/>
  <c r="D27" i="1"/>
  <c r="C27" i="7"/>
  <c r="D10" i="15"/>
  <c r="C27" i="10"/>
  <c r="C30" i="22"/>
  <c r="D32" i="11"/>
  <c r="C21" i="22"/>
  <c r="D25" i="1"/>
  <c r="D19" i="1"/>
  <c r="C17" i="21"/>
  <c r="D26" i="13"/>
  <c r="C28" i="10"/>
  <c r="C26" i="22"/>
  <c r="C12" i="8"/>
  <c r="C10" i="22"/>
  <c r="D26" i="4"/>
  <c r="D26" i="14"/>
  <c r="C25" i="21"/>
  <c r="D30" i="11"/>
  <c r="C22" i="21"/>
  <c r="D25" i="11"/>
  <c r="D27" i="13"/>
  <c r="D19" i="15"/>
  <c r="I31" i="3"/>
  <c r="I19" i="3"/>
  <c r="B33" i="9"/>
  <c r="D28" i="1"/>
  <c r="D28" i="15"/>
  <c r="D26" i="15"/>
  <c r="C10" i="7"/>
  <c r="D27" i="11"/>
  <c r="C26" i="21"/>
  <c r="C23" i="8"/>
  <c r="C26" i="8"/>
  <c r="D13" i="15"/>
  <c r="D34" i="15"/>
  <c r="C24" i="22"/>
  <c r="C22" i="10"/>
  <c r="D24" i="15"/>
  <c r="D13" i="1"/>
  <c r="C25" i="22"/>
  <c r="C26" i="10"/>
  <c r="D21" i="11"/>
  <c r="I42" i="3"/>
  <c r="I36" i="3"/>
  <c r="I30" i="3"/>
  <c r="I24" i="3"/>
  <c r="I18" i="3"/>
  <c r="B32" i="9"/>
  <c r="I12" i="3"/>
  <c r="B26" i="9"/>
  <c r="I7" i="3"/>
  <c r="B21" i="9"/>
  <c r="B14" i="9"/>
  <c r="B18" i="9"/>
  <c r="B15" i="9"/>
  <c r="B10" i="9"/>
  <c r="C11" i="8"/>
  <c r="C22" i="8"/>
  <c r="D27" i="4"/>
  <c r="D17" i="14"/>
  <c r="D31" i="13"/>
  <c r="C24" i="21"/>
  <c r="D21" i="1"/>
  <c r="D24" i="4"/>
  <c r="C13" i="21"/>
  <c r="D17" i="12"/>
  <c r="D18" i="4"/>
  <c r="D12" i="14"/>
  <c r="D18" i="14"/>
  <c r="C23" i="22"/>
  <c r="C19" i="8"/>
  <c r="C18" i="8"/>
  <c r="D10" i="12"/>
  <c r="D12" i="13"/>
  <c r="D30" i="4"/>
  <c r="D22" i="13"/>
  <c r="D18" i="15"/>
  <c r="D31" i="4"/>
  <c r="D29" i="14"/>
  <c r="D17" i="15"/>
  <c r="D28" i="13"/>
  <c r="C10" i="21"/>
  <c r="D31" i="14"/>
  <c r="C34" i="10"/>
  <c r="C25" i="10"/>
  <c r="D17" i="11"/>
  <c r="D34" i="16"/>
  <c r="D26" i="16"/>
  <c r="D17" i="4"/>
  <c r="D29" i="13"/>
  <c r="D29" i="11"/>
  <c r="C22" i="7"/>
  <c r="C24" i="8"/>
  <c r="C21" i="7"/>
  <c r="D12" i="1"/>
  <c r="C12" i="10"/>
  <c r="D10" i="13"/>
  <c r="D12" i="12"/>
  <c r="D22" i="14"/>
  <c r="D20" i="12"/>
  <c r="D29" i="15"/>
  <c r="C15" i="22"/>
  <c r="C24" i="10"/>
  <c r="D28" i="14"/>
  <c r="C20" i="10"/>
  <c r="D31" i="15"/>
  <c r="C28" i="21"/>
  <c r="C19" i="21"/>
  <c r="D16" i="11"/>
  <c r="D27" i="12"/>
  <c r="D10" i="4"/>
  <c r="D24" i="16"/>
  <c r="D33" i="12"/>
  <c r="D18" i="16"/>
  <c r="C25" i="7"/>
  <c r="D9" i="11"/>
  <c r="D24" i="12"/>
  <c r="D25" i="13"/>
  <c r="C29" i="10"/>
  <c r="C20" i="21"/>
  <c r="C11" i="21"/>
  <c r="D12" i="11"/>
  <c r="D32" i="4"/>
  <c r="B11" i="9"/>
  <c r="D17" i="16"/>
  <c r="C30" i="7"/>
  <c r="D16" i="1"/>
  <c r="C10" i="8"/>
  <c r="C27" i="8"/>
  <c r="D19" i="4"/>
  <c r="C23" i="21"/>
  <c r="D14" i="16"/>
  <c r="C19" i="10"/>
  <c r="D14" i="1"/>
  <c r="C11" i="10"/>
  <c r="C14" i="8"/>
  <c r="B13" i="9"/>
  <c r="C16" i="21"/>
  <c r="D16" i="16"/>
  <c r="C19" i="7"/>
  <c r="C16" i="7"/>
  <c r="C18" i="7"/>
  <c r="D11" i="1"/>
  <c r="C11" i="7"/>
  <c r="C9" i="8"/>
  <c r="C9" i="21"/>
  <c r="C16" i="10"/>
  <c r="B17" i="9"/>
  <c r="C8" i="8"/>
  <c r="N7" i="4"/>
  <c r="C10" i="10"/>
  <c r="C8" i="21"/>
  <c r="N6" i="11"/>
</calcChain>
</file>

<file path=xl/sharedStrings.xml><?xml version="1.0" encoding="utf-8"?>
<sst xmlns="http://schemas.openxmlformats.org/spreadsheetml/2006/main" count="664" uniqueCount="113">
  <si>
    <t>Регион</t>
  </si>
  <si>
    <t>Год</t>
  </si>
  <si>
    <t>об ознакомлении экспертов с правилами техники безопасности и охраны труда</t>
  </si>
  <si>
    <t>Название чемпионата:</t>
  </si>
  <si>
    <t>№</t>
  </si>
  <si>
    <t>Компетенция</t>
  </si>
  <si>
    <t>Компетенция:</t>
  </si>
  <si>
    <t>Главный эксперт</t>
  </si>
  <si>
    <t>Провел инструктаж по ТБ и ТО:</t>
  </si>
  <si>
    <t>№ п.п.</t>
  </si>
  <si>
    <t>Комментарии и недопонимание по полученной информации и инструктажу (если есть)</t>
  </si>
  <si>
    <t>ФИО эксперта</t>
  </si>
  <si>
    <t>Подпись</t>
  </si>
  <si>
    <t>.</t>
  </si>
  <si>
    <t>Дата:</t>
  </si>
  <si>
    <t>Инструктаж провел</t>
  </si>
  <si>
    <t>(подпись)</t>
  </si>
  <si>
    <t>Участники</t>
  </si>
  <si>
    <t>об ознакомлении участников с правилами техники безопасности и охраны труда</t>
  </si>
  <si>
    <t>Штамп времени на ведомостях</t>
  </si>
  <si>
    <t>ФИО экспертов</t>
  </si>
  <si>
    <t>С-2</t>
  </si>
  <si>
    <t>С-1</t>
  </si>
  <si>
    <t>С1</t>
  </si>
  <si>
    <t>С2</t>
  </si>
  <si>
    <t>С3</t>
  </si>
  <si>
    <t>С+1</t>
  </si>
  <si>
    <t>Мы, нижеподписавшиеся Эксперты, внимательно изучили Ведомости оценки с указанным временным штампом блокировки, прочитали каждый аспект и пояснения к нему (при наличии) и подтверждаем, что все аспекты сформулированы корректно, однозначно, соответствуют терминологии, принятой в данной компетенции и могут быть использованы для оценки представленного Конкурсного задания.</t>
  </si>
  <si>
    <t>Дата рождения</t>
  </si>
  <si>
    <t>Эксперты на площадке</t>
  </si>
  <si>
    <t>Зона ответственности</t>
  </si>
  <si>
    <t>Функционал</t>
  </si>
  <si>
    <t>Зам.главного эксперта</t>
  </si>
  <si>
    <t>Помощь главному эксперту в работе на площадке</t>
  </si>
  <si>
    <t>CIS</t>
  </si>
  <si>
    <t>Тех. обеспечение площадки</t>
  </si>
  <si>
    <t>Внесение оценок в систему CIS</t>
  </si>
  <si>
    <t>Обеспечение площадки расходными материалами, решение технических вопросов с оборудованием и инфраструктурой.</t>
  </si>
  <si>
    <t>Охрана труда</t>
  </si>
  <si>
    <t>Хронометраж</t>
  </si>
  <si>
    <t>Контакты с посетителями, прессой</t>
  </si>
  <si>
    <t>Развитие компетенции</t>
  </si>
  <si>
    <t>Документы</t>
  </si>
  <si>
    <t>Судейство</t>
  </si>
  <si>
    <t>Контроль выполнения условий безопасного нахождения и работы на площадке.</t>
  </si>
  <si>
    <t>Учет времени выполнения работы участниками.</t>
  </si>
  <si>
    <t>Общение с посетителями, прессой, тимлидерами команд</t>
  </si>
  <si>
    <t>Анализ возможностей для развития конкурсной документации для следующих чемпионатов. Формулирование предложений для экспертного сообщества.</t>
  </si>
  <si>
    <t>Проверка документов, составление и сбор протоколов</t>
  </si>
  <si>
    <t>Мы, нижеподписавшиеся, ознакомлены с данным протоколом, подтверждаем свою компетентность для выполнения закрепленных за нами функций и подтверждаем свое согласие на их выполнение.</t>
  </si>
  <si>
    <t>Мы, нижеподписавшиеся, подтверждаем, что нам была предоставлена возможность участвовать во внесении 30% изменений в Конкурсное задание (в соответствии с Регламентом чемпионата и, если предполагается, по утвержденному ТО), полноценно ознакомиться с  актуализированным Конкурсным заданием и Критериями оценки.</t>
  </si>
  <si>
    <t>Эксперт, ответственный за проверку документов:</t>
  </si>
  <si>
    <t>Введите номер эксперта с листа Experts</t>
  </si>
  <si>
    <t>Ответственный за проверку</t>
  </si>
  <si>
    <t xml:space="preserve">о жеребьевке по распределению конкурсных мест </t>
  </si>
  <si>
    <t>Комментарии и вопросы по проведенной жеребьевке (если есть)</t>
  </si>
  <si>
    <t xml:space="preserve">об ознакомлении Конкурсантов с нормативной документацией </t>
  </si>
  <si>
    <t xml:space="preserve">об ознакомлении Конкурсантов с конкурсной документацией </t>
  </si>
  <si>
    <t>о проверке Тулбокса конкурсанта</t>
  </si>
  <si>
    <t>ФИО участника</t>
  </si>
  <si>
    <t xml:space="preserve">о согласовании внештатных ситуаций </t>
  </si>
  <si>
    <t>№ раб. места</t>
  </si>
  <si>
    <t>Возникшая проблема</t>
  </si>
  <si>
    <t>Решение</t>
  </si>
  <si>
    <t>учета времени</t>
  </si>
  <si>
    <t>Остановка времени</t>
  </si>
  <si>
    <t>Старт времени</t>
  </si>
  <si>
    <t>День</t>
  </si>
  <si>
    <r>
      <t xml:space="preserve">Заполнить лист </t>
    </r>
    <r>
      <rPr>
        <b/>
        <sz val="11"/>
        <color theme="1"/>
        <rFont val="Calibri"/>
        <family val="2"/>
        <charset val="204"/>
        <scheme val="minor"/>
      </rPr>
      <t>Чемп (название, дни чемпионата)</t>
    </r>
  </si>
  <si>
    <r>
      <t xml:space="preserve">Заполнить лист </t>
    </r>
    <r>
      <rPr>
        <b/>
        <sz val="11"/>
        <color theme="1"/>
        <rFont val="Calibri"/>
        <family val="2"/>
        <charset val="204"/>
        <scheme val="minor"/>
      </rPr>
      <t xml:space="preserve">Experts </t>
    </r>
    <r>
      <rPr>
        <sz val="11"/>
        <color theme="1"/>
        <rFont val="Calibri"/>
        <family val="2"/>
        <charset val="204"/>
        <scheme val="minor"/>
      </rPr>
      <t>(ФИО экспертов)</t>
    </r>
  </si>
  <si>
    <t>Мы, нижеподписавшиеся Конкурсанты, подтверждаем, что жеребьевка была проведена справедливо и честно. Претензий не имеем.</t>
  </si>
  <si>
    <t xml:space="preserve">Мы, нижеподписавшиеся, подтверждаем, что нам была предоставлена возможность полноценно ознакомиться с актуальным регламентом чемпионата и кодексом этики. </t>
  </si>
  <si>
    <t xml:space="preserve">Мы, нижеподписавшиеся, подтверждаем, что нам была предоставлена возможность полноценно ознакомиться с актуальным конкурсным заданием. Конкурсную документацию внимательно изучил, вопросов не имею. </t>
  </si>
  <si>
    <t>об ознакомлении Экспертов с актуализированным конкурсным заданием и критериями оценки (после внесения 30% изменений)</t>
  </si>
  <si>
    <r>
      <t xml:space="preserve">Заполнить лист </t>
    </r>
    <r>
      <rPr>
        <b/>
        <sz val="11"/>
        <color theme="1"/>
        <rFont val="Calibri"/>
        <family val="2"/>
        <charset val="204"/>
        <scheme val="minor"/>
      </rPr>
      <t xml:space="preserve">Competitors </t>
    </r>
    <r>
      <rPr>
        <sz val="11"/>
        <color theme="1"/>
        <rFont val="Calibri"/>
        <family val="2"/>
        <charset val="204"/>
        <scheme val="minor"/>
      </rPr>
      <t>(ФИО участников)</t>
    </r>
  </si>
  <si>
    <t xml:space="preserve">Эмблема WSR </t>
  </si>
  <si>
    <t>находится в Колонтитуле и поэтому на листе не отображается</t>
  </si>
  <si>
    <t>Выводится сразу на печать</t>
  </si>
  <si>
    <t>Отображается в предварительном просмотре</t>
  </si>
  <si>
    <r>
      <t xml:space="preserve">Вывод формы </t>
    </r>
    <r>
      <rPr>
        <b/>
        <sz val="11"/>
        <color theme="1"/>
        <rFont val="Calibri"/>
        <family val="2"/>
        <charset val="204"/>
        <scheme val="minor"/>
      </rPr>
      <t>ОГЛАВЛЕНИЕ</t>
    </r>
  </si>
  <si>
    <t>CTRL+й</t>
  </si>
  <si>
    <t>CTRL+q</t>
  </si>
  <si>
    <t>или</t>
  </si>
  <si>
    <t xml:space="preserve">ознакомлении конкурсантов с конкурсной документацией, оборудованием 
и рабочими местами 
</t>
  </si>
  <si>
    <t>Протокол чемпионата по стандартам WorldSkills Russia</t>
  </si>
  <si>
    <t>Мы, нижеподписавшиеся подтверждаем, что нам была предоставлена возможность полноценно ознакомиться с актуальным конкурсным заданием, критериями оценки, регламентом чемпионата, кодексом этики, а также оборудованием и рабочими местами на конкурсной площадке, протестировать оборудование в течение необходимого для ознакомления времени (не менее 2 часов), получены и изучены инструкции по использованию инструментом, расходными материалами. Конкурсную документацию внимательно изучил, вопросов не имею, умение пользоваться оборудованием и расходными материалами подтверждаю. Инструктаж по Правилам охраны труда получил в полном объеме, обязуюсь соблюдать все требования</t>
  </si>
  <si>
    <t xml:space="preserve">Протокол регистрации экспертов чемпионата по стандартам WorldSkills Russia на конкурсной площадке </t>
  </si>
  <si>
    <t>Протокол распределения судейских ролей на чемпионате 
по стандартам WorldSkills Russia</t>
  </si>
  <si>
    <t xml:space="preserve">об ознакомлении с ведомостями оценки </t>
  </si>
  <si>
    <t>Протокол регистрации экспертов чемпионата по стандартам Worldskills Russia на конкурсной площадке в дни соревнований</t>
  </si>
  <si>
    <t>Протокол регистрации участников чемпионата по стандартам Worldskills Russia на конкурсной площадке в дни соревнований</t>
  </si>
  <si>
    <t xml:space="preserve">Протокол чемпионата  по стандартам Worldskills Russia </t>
  </si>
  <si>
    <t>С+2</t>
  </si>
  <si>
    <t>№ (заполнить)</t>
  </si>
  <si>
    <t>Название (заполнить)</t>
  </si>
  <si>
    <t>Фамилия</t>
  </si>
  <si>
    <t>Имя</t>
  </si>
  <si>
    <t>Отчество</t>
  </si>
  <si>
    <t>ГЭ на площадке</t>
  </si>
  <si>
    <t xml:space="preserve">Протокол чемпионата по стандартам WorldSkills Russia о регистрации конкурсантов и их соответствии возрастному цензу  </t>
  </si>
  <si>
    <t>Введите номера экспертов с листа Experts (изменение цифры)</t>
  </si>
  <si>
    <t>Тулбоксы на проверку не предоставлены. Участники используют оборудование площадки.</t>
  </si>
  <si>
    <t>С-3</t>
  </si>
  <si>
    <r>
      <t xml:space="preserve">В протоколах при необходимости нужно </t>
    </r>
    <r>
      <rPr>
        <b/>
        <i/>
        <sz val="11"/>
        <color theme="1"/>
        <rFont val="Calibri"/>
        <family val="2"/>
        <charset val="204"/>
        <scheme val="minor"/>
      </rPr>
      <t>отображать</t>
    </r>
    <r>
      <rPr>
        <b/>
        <sz val="11"/>
        <color theme="1"/>
        <rFont val="Calibri"/>
        <family val="2"/>
        <charset val="204"/>
        <scheme val="minor"/>
      </rPr>
      <t xml:space="preserve"> или </t>
    </r>
    <r>
      <rPr>
        <b/>
        <i/>
        <sz val="11"/>
        <color theme="1"/>
        <rFont val="Calibri"/>
        <family val="2"/>
        <charset val="204"/>
        <scheme val="minor"/>
      </rPr>
      <t>скрывать</t>
    </r>
    <r>
      <rPr>
        <b/>
        <sz val="11"/>
        <color theme="1"/>
        <rFont val="Calibri"/>
        <family val="2"/>
        <charset val="204"/>
        <scheme val="minor"/>
      </rPr>
      <t xml:space="preserve"> строки количества Экспертов (Участников)</t>
    </r>
  </si>
  <si>
    <t>ФИО эксперта ответственного за пожарную безопасность</t>
  </si>
  <si>
    <t>о назначении ответственного лица за пожарную безопасность</t>
  </si>
  <si>
    <t>Заместитель ГЭЮ на площадке</t>
  </si>
  <si>
    <t>Заместитель ГЭЮ</t>
  </si>
  <si>
    <t>Подпись конкурсанта</t>
  </si>
  <si>
    <t>Подпись эксперта-компатриота</t>
  </si>
  <si>
    <t>Подпись проверяющего</t>
  </si>
  <si>
    <t>Финал IX Национального чемпионата «Молодые профессионалы» (WorldSkills Russia)</t>
  </si>
  <si>
    <t>Уфа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</si>
</sst>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u/>
      <sz val="12"/>
      <color theme="1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8"/>
      <color rgb="FFFFFF00"/>
      <name val="Times New Roman"/>
      <family val="1"/>
      <charset val="204"/>
    </font>
    <font>
      <b/>
      <sz val="20"/>
      <color rgb="FFFFFF00"/>
      <name val="Times New Roman"/>
      <family val="1"/>
      <charset val="204"/>
    </font>
    <font>
      <b/>
      <u/>
      <sz val="12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rgb="FFFFFF00"/>
      <name val="Times New Roman"/>
      <family val="1"/>
      <charset val="204"/>
    </font>
    <font>
      <u/>
      <sz val="10"/>
      <color theme="1"/>
      <name val="Times New Roman"/>
      <family val="1"/>
      <charset val="204"/>
    </font>
    <font>
      <u/>
      <sz val="9"/>
      <color theme="1"/>
      <name val="Times New Roman"/>
      <family val="1"/>
      <charset val="204"/>
    </font>
    <font>
      <u/>
      <sz val="8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8F8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28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 applyAlignment="1">
      <alignment horizontal="left" vertical="center"/>
    </xf>
    <xf numFmtId="0" fontId="1" fillId="0" borderId="2" xfId="0" applyFont="1" applyBorder="1"/>
    <xf numFmtId="0" fontId="1" fillId="0" borderId="4" xfId="0" applyFont="1" applyBorder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" fillId="0" borderId="0" xfId="0" applyFont="1" applyBorder="1" applyAlignment="1"/>
    <xf numFmtId="0" fontId="7" fillId="0" borderId="0" xfId="0" applyFont="1"/>
    <xf numFmtId="0" fontId="4" fillId="0" borderId="0" xfId="0" applyFont="1" applyAlignment="1" applyProtection="1">
      <alignment vertical="center"/>
    </xf>
    <xf numFmtId="0" fontId="4" fillId="0" borderId="0" xfId="0" applyFont="1" applyAlignment="1" applyProtection="1">
      <alignment vertical="center" wrapText="1"/>
    </xf>
    <xf numFmtId="0" fontId="5" fillId="0" borderId="0" xfId="0" applyFont="1" applyAlignment="1" applyProtection="1">
      <alignment vertical="center"/>
    </xf>
    <xf numFmtId="0" fontId="1" fillId="0" borderId="0" xfId="0" applyFont="1" applyBorder="1" applyProtection="1">
      <protection locked="0"/>
    </xf>
    <xf numFmtId="0" fontId="6" fillId="0" borderId="0" xfId="0" applyFont="1" applyBorder="1" applyAlignment="1">
      <alignment wrapText="1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2" fillId="0" borderId="0" xfId="0" applyFont="1" applyAlignment="1" applyProtection="1">
      <alignment horizontal="left" vertical="center"/>
    </xf>
    <xf numFmtId="0" fontId="1" fillId="0" borderId="0" xfId="0" applyFont="1" applyBorder="1" applyProtection="1"/>
    <xf numFmtId="0" fontId="1" fillId="4" borderId="0" xfId="0" applyFont="1" applyFill="1" applyBorder="1" applyProtection="1">
      <protection locked="0"/>
    </xf>
    <xf numFmtId="0" fontId="2" fillId="4" borderId="0" xfId="0" applyFont="1" applyFill="1" applyBorder="1" applyAlignment="1" applyProtection="1">
      <alignment vertical="center" wrapText="1"/>
      <protection locked="0"/>
    </xf>
    <xf numFmtId="0" fontId="12" fillId="0" borderId="0" xfId="0" applyFont="1"/>
    <xf numFmtId="0" fontId="2" fillId="0" borderId="0" xfId="0" applyFont="1" applyAlignment="1" applyProtection="1">
      <alignment vertical="center"/>
    </xf>
    <xf numFmtId="0" fontId="2" fillId="0" borderId="0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center" vertical="center"/>
    </xf>
    <xf numFmtId="0" fontId="1" fillId="3" borderId="0" xfId="0" applyFont="1" applyFill="1" applyProtection="1">
      <protection locked="0"/>
    </xf>
    <xf numFmtId="14" fontId="1" fillId="3" borderId="0" xfId="0" applyNumberFormat="1" applyFont="1" applyFill="1" applyProtection="1">
      <protection locked="0"/>
    </xf>
    <xf numFmtId="0" fontId="1" fillId="0" borderId="0" xfId="0" applyFont="1" applyProtection="1"/>
    <xf numFmtId="0" fontId="1" fillId="3" borderId="1" xfId="0" applyFont="1" applyFill="1" applyBorder="1" applyProtection="1">
      <protection locked="0"/>
    </xf>
    <xf numFmtId="0" fontId="2" fillId="3" borderId="1" xfId="0" applyFont="1" applyFill="1" applyBorder="1" applyAlignment="1" applyProtection="1">
      <alignment vertical="center" wrapText="1"/>
      <protection locked="0"/>
    </xf>
    <xf numFmtId="0" fontId="6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left"/>
    </xf>
    <xf numFmtId="0" fontId="10" fillId="0" borderId="7" xfId="0" applyFont="1" applyBorder="1" applyAlignment="1" applyProtection="1">
      <alignment horizontal="left"/>
    </xf>
    <xf numFmtId="0" fontId="3" fillId="0" borderId="0" xfId="0" applyFont="1" applyBorder="1" applyAlignment="1" applyProtection="1"/>
    <xf numFmtId="0" fontId="1" fillId="0" borderId="2" xfId="0" applyFont="1" applyBorder="1" applyProtection="1"/>
    <xf numFmtId="0" fontId="1" fillId="0" borderId="4" xfId="0" applyFont="1" applyBorder="1" applyProtection="1"/>
    <xf numFmtId="164" fontId="1" fillId="0" borderId="0" xfId="0" applyNumberFormat="1" applyFont="1" applyBorder="1" applyAlignment="1" applyProtection="1">
      <alignment vertical="top" wrapText="1"/>
    </xf>
    <xf numFmtId="0" fontId="1" fillId="0" borderId="0" xfId="0" applyFont="1" applyBorder="1" applyAlignment="1" applyProtection="1"/>
    <xf numFmtId="0" fontId="12" fillId="0" borderId="0" xfId="0" applyFont="1" applyProtection="1"/>
    <xf numFmtId="0" fontId="1" fillId="0" borderId="0" xfId="0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Alignment="1" applyProtection="1"/>
    <xf numFmtId="0" fontId="11" fillId="0" borderId="0" xfId="0" applyFont="1" applyAlignment="1" applyProtection="1">
      <alignment horizontal="center"/>
      <protection locked="0"/>
    </xf>
    <xf numFmtId="0" fontId="7" fillId="0" borderId="0" xfId="0" applyFont="1" applyProtection="1"/>
    <xf numFmtId="0" fontId="6" fillId="0" borderId="0" xfId="0" applyFont="1" applyBorder="1" applyAlignment="1" applyProtection="1"/>
    <xf numFmtId="0" fontId="6" fillId="0" borderId="0" xfId="0" applyFont="1" applyBorder="1" applyAlignment="1" applyProtection="1">
      <alignment vertical="top" wrapText="1"/>
    </xf>
    <xf numFmtId="0" fontId="12" fillId="5" borderId="0" xfId="0" applyFont="1" applyFill="1" applyProtection="1">
      <protection locked="0"/>
    </xf>
    <xf numFmtId="0" fontId="2" fillId="0" borderId="0" xfId="0" applyFont="1" applyAlignment="1" applyProtection="1">
      <alignment horizontal="left" vertical="center"/>
    </xf>
    <xf numFmtId="0" fontId="10" fillId="0" borderId="0" xfId="0" applyFont="1" applyBorder="1" applyAlignment="1" applyProtection="1">
      <alignment horizontal="center"/>
    </xf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" fillId="0" borderId="0" xfId="0" applyFont="1" applyProtection="1"/>
    <xf numFmtId="0" fontId="8" fillId="0" borderId="0" xfId="0" applyFont="1" applyBorder="1" applyAlignment="1" applyProtection="1">
      <alignment wrapText="1"/>
    </xf>
    <xf numFmtId="0" fontId="15" fillId="0" borderId="0" xfId="0" applyFont="1" applyProtection="1">
      <protection locked="0"/>
    </xf>
    <xf numFmtId="0" fontId="2" fillId="0" borderId="0" xfId="0" applyFont="1" applyBorder="1" applyProtection="1"/>
    <xf numFmtId="0" fontId="2" fillId="0" borderId="0" xfId="0" applyFont="1" applyBorder="1" applyAlignment="1" applyProtection="1">
      <alignment horizontal="left"/>
    </xf>
    <xf numFmtId="0" fontId="2" fillId="0" borderId="7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2" fillId="0" borderId="4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0" xfId="0" applyFont="1" applyAlignment="1" applyProtection="1">
      <alignment horizontal="right"/>
    </xf>
    <xf numFmtId="0" fontId="2" fillId="0" borderId="2" xfId="0" applyFont="1" applyBorder="1" applyProtection="1"/>
    <xf numFmtId="0" fontId="2" fillId="0" borderId="4" xfId="0" applyFont="1" applyBorder="1" applyProtection="1"/>
    <xf numFmtId="0" fontId="15" fillId="0" borderId="0" xfId="0" applyFont="1" applyProtection="1"/>
    <xf numFmtId="0" fontId="2" fillId="0" borderId="2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 applyProtection="1">
      <alignment vertical="center"/>
    </xf>
    <xf numFmtId="0" fontId="2" fillId="0" borderId="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2" fillId="0" borderId="7" xfId="0" applyFont="1" applyBorder="1" applyAlignment="1" applyProtection="1">
      <alignment horizontal="left" vertical="center"/>
    </xf>
    <xf numFmtId="0" fontId="14" fillId="0" borderId="0" xfId="0" applyFont="1"/>
    <xf numFmtId="0" fontId="19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64" fontId="17" fillId="0" borderId="0" xfId="0" applyNumberFormat="1" applyFont="1" applyBorder="1" applyAlignment="1" applyProtection="1"/>
    <xf numFmtId="0" fontId="12" fillId="0" borderId="0" xfId="0" applyFont="1" applyFill="1" applyProtection="1">
      <protection locked="0"/>
    </xf>
    <xf numFmtId="0" fontId="14" fillId="7" borderId="0" xfId="0" applyFont="1" applyFill="1"/>
    <xf numFmtId="0" fontId="0" fillId="7" borderId="0" xfId="0" applyFill="1"/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8" fillId="6" borderId="5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wrapText="1"/>
    </xf>
    <xf numFmtId="164" fontId="16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2" xfId="0" applyFont="1" applyBorder="1" applyAlignment="1" applyProtection="1">
      <alignment horizontal="left"/>
    </xf>
    <xf numFmtId="0" fontId="2" fillId="0" borderId="3" xfId="0" applyFont="1" applyBorder="1" applyAlignment="1" applyProtection="1">
      <alignment horizontal="left"/>
    </xf>
    <xf numFmtId="0" fontId="2" fillId="0" borderId="4" xfId="0" applyFont="1" applyBorder="1" applyAlignment="1" applyProtection="1">
      <alignment horizontal="left"/>
    </xf>
    <xf numFmtId="0" fontId="2" fillId="0" borderId="2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2" fillId="0" borderId="4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1" fillId="0" borderId="0" xfId="0" applyFont="1" applyAlignment="1" applyProtection="1">
      <alignment horizontal="right"/>
    </xf>
    <xf numFmtId="0" fontId="1" fillId="0" borderId="0" xfId="0" applyFont="1" applyAlignment="1" applyProtection="1">
      <alignment horizontal="left"/>
    </xf>
    <xf numFmtId="164" fontId="18" fillId="0" borderId="0" xfId="0" applyNumberFormat="1" applyFont="1" applyBorder="1" applyAlignment="1" applyProtection="1">
      <alignment horizontal="left"/>
    </xf>
    <xf numFmtId="0" fontId="7" fillId="6" borderId="5" xfId="0" applyFont="1" applyFill="1" applyBorder="1" applyAlignment="1" applyProtection="1">
      <alignment horizontal="center" vertical="center" wrapText="1"/>
    </xf>
    <xf numFmtId="0" fontId="7" fillId="6" borderId="1" xfId="0" applyFont="1" applyFill="1" applyBorder="1" applyAlignment="1" applyProtection="1">
      <alignment horizontal="center" vertical="center" wrapText="1"/>
    </xf>
    <xf numFmtId="0" fontId="7" fillId="6" borderId="1" xfId="0" applyFont="1" applyFill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 vertical="top" wrapText="1"/>
    </xf>
    <xf numFmtId="0" fontId="2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left" vertical="center" wrapText="1"/>
    </xf>
    <xf numFmtId="0" fontId="8" fillId="2" borderId="5" xfId="0" applyFont="1" applyFill="1" applyBorder="1" applyAlignment="1" applyProtection="1">
      <alignment horizontal="center" vertical="center" wrapText="1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2" fillId="0" borderId="7" xfId="0" applyFont="1" applyBorder="1" applyAlignment="1" applyProtection="1">
      <alignment horizontal="center"/>
    </xf>
    <xf numFmtId="0" fontId="9" fillId="0" borderId="0" xfId="0" applyFont="1" applyAlignment="1" applyProtection="1">
      <alignment horizontal="left" vertical="center" wrapText="1"/>
    </xf>
    <xf numFmtId="164" fontId="16" fillId="0" borderId="0" xfId="0" applyNumberFormat="1" applyFont="1" applyBorder="1" applyAlignment="1" applyProtection="1">
      <alignment horizontal="left"/>
    </xf>
    <xf numFmtId="0" fontId="2" fillId="0" borderId="0" xfId="0" applyFont="1" applyAlignment="1" applyProtection="1">
      <alignment horizontal="right"/>
    </xf>
    <xf numFmtId="0" fontId="2" fillId="0" borderId="6" xfId="0" applyFont="1" applyBorder="1" applyAlignment="1" applyProtection="1">
      <alignment horizontal="center"/>
    </xf>
    <xf numFmtId="0" fontId="8" fillId="6" borderId="5" xfId="0" applyFont="1" applyFill="1" applyBorder="1" applyAlignment="1" applyProtection="1">
      <alignment horizontal="center" vertical="center" wrapText="1"/>
    </xf>
    <xf numFmtId="0" fontId="8" fillId="6" borderId="1" xfId="0" applyFont="1" applyFill="1" applyBorder="1" applyAlignment="1" applyProtection="1">
      <alignment horizontal="center" vertical="center"/>
    </xf>
    <xf numFmtId="0" fontId="9" fillId="0" borderId="6" xfId="0" applyFont="1" applyBorder="1" applyAlignment="1" applyProtection="1">
      <alignment horizontal="left" vertical="center" wrapText="1"/>
    </xf>
    <xf numFmtId="0" fontId="10" fillId="0" borderId="7" xfId="0" applyFont="1" applyBorder="1" applyAlignment="1" applyProtection="1">
      <alignment horizontal="center"/>
    </xf>
    <xf numFmtId="22" fontId="13" fillId="0" borderId="6" xfId="0" applyNumberFormat="1" applyFont="1" applyBorder="1" applyAlignment="1" applyProtection="1">
      <alignment horizontal="center" vertical="center"/>
      <protection locked="0"/>
    </xf>
    <xf numFmtId="0" fontId="13" fillId="0" borderId="6" xfId="0" applyFont="1" applyBorder="1" applyAlignment="1" applyProtection="1">
      <alignment horizontal="center" vertical="center"/>
      <protection locked="0"/>
    </xf>
    <xf numFmtId="0" fontId="8" fillId="6" borderId="2" xfId="0" applyFont="1" applyFill="1" applyBorder="1" applyAlignment="1" applyProtection="1">
      <alignment horizontal="center" vertical="center"/>
    </xf>
    <xf numFmtId="0" fontId="8" fillId="6" borderId="3" xfId="0" applyFont="1" applyFill="1" applyBorder="1" applyAlignment="1" applyProtection="1">
      <alignment horizontal="center" vertical="center"/>
    </xf>
    <xf numFmtId="0" fontId="8" fillId="6" borderId="4" xfId="0" applyFont="1" applyFill="1" applyBorder="1" applyAlignment="1" applyProtection="1">
      <alignment horizontal="center" vertical="center"/>
    </xf>
    <xf numFmtId="0" fontId="1" fillId="0" borderId="0" xfId="0" applyFont="1" applyAlignment="1" applyProtection="1">
      <alignment horizontal="center"/>
    </xf>
    <xf numFmtId="164" fontId="17" fillId="0" borderId="0" xfId="0" applyNumberFormat="1" applyFont="1" applyBorder="1" applyAlignment="1" applyProtection="1">
      <alignment horizontal="center" vertical="top" wrapText="1"/>
    </xf>
    <xf numFmtId="0" fontId="10" fillId="0" borderId="2" xfId="0" applyFont="1" applyBorder="1" applyAlignment="1" applyProtection="1">
      <alignment horizontal="left" vertical="center" wrapText="1"/>
    </xf>
    <xf numFmtId="0" fontId="10" fillId="0" borderId="3" xfId="0" applyFont="1" applyBorder="1" applyAlignment="1" applyProtection="1">
      <alignment horizontal="left" vertical="center" wrapText="1"/>
    </xf>
    <xf numFmtId="0" fontId="10" fillId="0" borderId="4" xfId="0" applyFont="1" applyBorder="1" applyAlignment="1" applyProtection="1">
      <alignment horizontal="left" vertical="center" wrapText="1"/>
    </xf>
    <xf numFmtId="0" fontId="2" fillId="0" borderId="1" xfId="0" applyFont="1" applyBorder="1" applyAlignment="1" applyProtection="1">
      <alignment horizontal="center"/>
    </xf>
    <xf numFmtId="0" fontId="10" fillId="0" borderId="1" xfId="0" applyFont="1" applyBorder="1" applyAlignment="1" applyProtection="1">
      <alignment horizontal="left" wrapText="1"/>
    </xf>
    <xf numFmtId="0" fontId="10" fillId="0" borderId="1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center" wrapText="1"/>
    </xf>
    <xf numFmtId="0" fontId="4" fillId="0" borderId="0" xfId="0" applyFont="1" applyAlignment="1" applyProtection="1">
      <alignment horizontal="center" vertical="center" wrapText="1"/>
    </xf>
    <xf numFmtId="0" fontId="2" fillId="0" borderId="1" xfId="0" applyFont="1" applyBorder="1" applyAlignment="1" applyProtection="1">
      <alignment vertical="center" wrapText="1"/>
    </xf>
    <xf numFmtId="0" fontId="8" fillId="0" borderId="0" xfId="0" applyFont="1" applyAlignment="1" applyProtection="1">
      <alignment horizontal="center" wrapText="1"/>
    </xf>
    <xf numFmtId="0" fontId="10" fillId="0" borderId="0" xfId="0" applyFont="1" applyBorder="1" applyAlignment="1" applyProtection="1">
      <alignment horizontal="center"/>
    </xf>
    <xf numFmtId="0" fontId="2" fillId="0" borderId="0" xfId="0" applyFont="1" applyAlignment="1" applyProtection="1">
      <alignment horizontal="left"/>
    </xf>
    <xf numFmtId="0" fontId="8" fillId="6" borderId="1" xfId="0" applyFont="1" applyFill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 applyBorder="1" applyAlignment="1" applyProtection="1">
      <alignment horizontal="center"/>
    </xf>
    <xf numFmtId="0" fontId="2" fillId="0" borderId="0" xfId="0" applyFont="1" applyAlignment="1" applyProtection="1">
      <alignment horizontal="left" vertical="center" wrapText="1"/>
    </xf>
    <xf numFmtId="0" fontId="7" fillId="0" borderId="0" xfId="0" applyFont="1" applyAlignment="1" applyProtection="1">
      <alignment horizontal="center" wrapText="1"/>
    </xf>
    <xf numFmtId="164" fontId="17" fillId="0" borderId="0" xfId="0" applyNumberFormat="1" applyFont="1" applyBorder="1" applyAlignment="1" applyProtection="1">
      <alignment horizontal="left"/>
    </xf>
    <xf numFmtId="0" fontId="1" fillId="0" borderId="2" xfId="0" applyFont="1" applyBorder="1" applyAlignment="1" applyProtection="1">
      <alignment horizontal="left"/>
    </xf>
    <xf numFmtId="0" fontId="1" fillId="0" borderId="3" xfId="0" applyFont="1" applyBorder="1" applyAlignment="1" applyProtection="1">
      <alignment horizontal="left"/>
    </xf>
    <xf numFmtId="0" fontId="1" fillId="0" borderId="4" xfId="0" applyFont="1" applyBorder="1" applyAlignment="1" applyProtection="1">
      <alignment horizontal="left"/>
    </xf>
    <xf numFmtId="0" fontId="1" fillId="0" borderId="2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4" xfId="0" applyFont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 vertical="center" wrapText="1"/>
    </xf>
    <xf numFmtId="0" fontId="7" fillId="2" borderId="1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 vertical="center" wrapText="1"/>
    </xf>
    <xf numFmtId="0" fontId="7" fillId="2" borderId="4" xfId="0" applyFont="1" applyFill="1" applyBorder="1" applyAlignment="1" applyProtection="1">
      <alignment horizontal="center" vertical="center" wrapText="1"/>
    </xf>
    <xf numFmtId="0" fontId="7" fillId="2" borderId="1" xfId="0" applyFont="1" applyFill="1" applyBorder="1" applyAlignment="1" applyProtection="1">
      <alignment horizontal="center" vertical="center" wrapText="1"/>
    </xf>
    <xf numFmtId="164" fontId="17" fillId="0" borderId="0" xfId="0" applyNumberFormat="1" applyFont="1" applyBorder="1" applyAlignment="1" applyProtection="1">
      <alignment horizontal="center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vertical="top" wrapText="1"/>
    </xf>
    <xf numFmtId="0" fontId="9" fillId="0" borderId="0" xfId="0" applyFont="1" applyAlignment="1">
      <alignment horizontal="left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64" fontId="17" fillId="0" borderId="0" xfId="0" applyNumberFormat="1" applyFont="1" applyBorder="1" applyAlignment="1">
      <alignment horizontal="left"/>
    </xf>
    <xf numFmtId="164" fontId="4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14" fontId="8" fillId="6" borderId="2" xfId="0" applyNumberFormat="1" applyFont="1" applyFill="1" applyBorder="1" applyAlignment="1">
      <alignment horizontal="center" vertical="center" wrapText="1"/>
    </xf>
    <xf numFmtId="14" fontId="8" fillId="6" borderId="3" xfId="0" applyNumberFormat="1" applyFont="1" applyFill="1" applyBorder="1" applyAlignment="1">
      <alignment horizontal="center" vertical="center" wrapText="1"/>
    </xf>
    <xf numFmtId="14" fontId="8" fillId="6" borderId="4" xfId="0" applyNumberFormat="1" applyFont="1" applyFill="1" applyBorder="1" applyAlignment="1">
      <alignment horizontal="center" vertical="center" wrapText="1"/>
    </xf>
    <xf numFmtId="14" fontId="8" fillId="6" borderId="8" xfId="0" applyNumberFormat="1" applyFont="1" applyFill="1" applyBorder="1" applyAlignment="1">
      <alignment horizontal="center" vertical="center" wrapText="1"/>
    </xf>
    <xf numFmtId="14" fontId="8" fillId="6" borderId="7" xfId="0" applyNumberFormat="1" applyFont="1" applyFill="1" applyBorder="1" applyAlignment="1">
      <alignment horizontal="center" vertical="center" wrapText="1"/>
    </xf>
    <xf numFmtId="14" fontId="8" fillId="6" borderId="9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164" fontId="18" fillId="0" borderId="0" xfId="0" applyNumberFormat="1" applyFont="1" applyBorder="1" applyAlignment="1">
      <alignment horizontal="left"/>
    </xf>
    <xf numFmtId="0" fontId="8" fillId="2" borderId="5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164" fontId="4" fillId="0" borderId="6" xfId="0" applyNumberFormat="1" applyFont="1" applyBorder="1" applyAlignment="1">
      <alignment horizontal="left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/>
    </xf>
    <xf numFmtId="164" fontId="5" fillId="0" borderId="6" xfId="0" applyNumberFormat="1" applyFont="1" applyBorder="1" applyAlignment="1">
      <alignment horizontal="left"/>
    </xf>
    <xf numFmtId="0" fontId="1" fillId="0" borderId="6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worksheet" Target="worksheets/sheet13.xml" /><Relationship Id="rId18" Type="http://schemas.openxmlformats.org/officeDocument/2006/relationships/worksheet" Target="worksheets/sheet18.xml" /><Relationship Id="rId26" Type="http://schemas.microsoft.com/office/2006/relationships/vbaProject" Target="vbaProject.bin" /><Relationship Id="rId3" Type="http://schemas.openxmlformats.org/officeDocument/2006/relationships/worksheet" Target="worksheets/sheet3.xml" /><Relationship Id="rId21" Type="http://schemas.openxmlformats.org/officeDocument/2006/relationships/worksheet" Target="worksheets/sheet21.xml" /><Relationship Id="rId7" Type="http://schemas.openxmlformats.org/officeDocument/2006/relationships/worksheet" Target="worksheets/sheet7.xml" /><Relationship Id="rId12" Type="http://schemas.openxmlformats.org/officeDocument/2006/relationships/worksheet" Target="worksheets/sheet12.xml" /><Relationship Id="rId17" Type="http://schemas.openxmlformats.org/officeDocument/2006/relationships/worksheet" Target="worksheets/sheet17.xml" /><Relationship Id="rId25" Type="http://schemas.openxmlformats.org/officeDocument/2006/relationships/calcChain" Target="calcChain.xml" /><Relationship Id="rId2" Type="http://schemas.openxmlformats.org/officeDocument/2006/relationships/worksheet" Target="worksheets/sheet2.xml" /><Relationship Id="rId16" Type="http://schemas.openxmlformats.org/officeDocument/2006/relationships/worksheet" Target="worksheets/sheet16.xml" /><Relationship Id="rId20" Type="http://schemas.openxmlformats.org/officeDocument/2006/relationships/worksheet" Target="worksheets/sheet20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worksheet" Target="worksheets/sheet11.xml" /><Relationship Id="rId24" Type="http://schemas.openxmlformats.org/officeDocument/2006/relationships/sharedStrings" Target="sharedStrings.xml" /><Relationship Id="rId5" Type="http://schemas.openxmlformats.org/officeDocument/2006/relationships/worksheet" Target="worksheets/sheet5.xml" /><Relationship Id="rId15" Type="http://schemas.openxmlformats.org/officeDocument/2006/relationships/worksheet" Target="worksheets/sheet15.xml" /><Relationship Id="rId23" Type="http://schemas.openxmlformats.org/officeDocument/2006/relationships/styles" Target="styles.xml" /><Relationship Id="rId10" Type="http://schemas.openxmlformats.org/officeDocument/2006/relationships/worksheet" Target="worksheets/sheet10.xml" /><Relationship Id="rId19" Type="http://schemas.openxmlformats.org/officeDocument/2006/relationships/worksheet" Target="worksheets/sheet19.xml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worksheet" Target="worksheets/sheet14.xml" /><Relationship Id="rId22" Type="http://schemas.openxmlformats.org/officeDocument/2006/relationships/theme" Target="theme/theme1.xml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 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 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 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 /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 /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 /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 /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 /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 /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 /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 /><Relationship Id="rId1" Type="http://schemas.openxmlformats.org/officeDocument/2006/relationships/printerSettings" Target="../printerSettings/printerSettings12.bin" 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 /><Relationship Id="rId1" Type="http://schemas.openxmlformats.org/officeDocument/2006/relationships/printerSettings" Target="../printerSettings/printerSettings13.bin" 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 /><Relationship Id="rId1" Type="http://schemas.openxmlformats.org/officeDocument/2006/relationships/printerSettings" Target="../printerSettings/printerSettings14.bin" 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 /><Relationship Id="rId1" Type="http://schemas.openxmlformats.org/officeDocument/2006/relationships/printerSettings" Target="../printerSettings/printerSettings15.bin" 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 /><Relationship Id="rId1" Type="http://schemas.openxmlformats.org/officeDocument/2006/relationships/printerSettings" Target="../printerSettings/printerSettings16.bin" 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 /><Relationship Id="rId1" Type="http://schemas.openxmlformats.org/officeDocument/2006/relationships/printerSettings" Target="../printerSettings/printerSettings17.bin" 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 /><Relationship Id="rId1" Type="http://schemas.openxmlformats.org/officeDocument/2006/relationships/printerSettings" Target="../printerSettings/printerSettings18.bin" 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 /><Relationship Id="rId1" Type="http://schemas.openxmlformats.org/officeDocument/2006/relationships/printerSettings" Target="../printerSettings/printerSettings19.bin" 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 /><Relationship Id="rId1" Type="http://schemas.openxmlformats.org/officeDocument/2006/relationships/printerSettings" Target="../printerSettings/printerSettings20.bin" 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 /><Relationship Id="rId1" Type="http://schemas.openxmlformats.org/officeDocument/2006/relationships/printerSettings" Target="../printerSettings/printerSettings2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12"/>
  <sheetViews>
    <sheetView workbookViewId="0">
      <selection activeCell="F3" sqref="F3"/>
    </sheetView>
  </sheetViews>
  <sheetFormatPr defaultRowHeight="15" x14ac:dyDescent="0.2"/>
  <cols>
    <col min="1" max="1" width="4.5703125" customWidth="1"/>
    <col min="4" max="4" width="5.91796875" customWidth="1"/>
  </cols>
  <sheetData>
    <row r="1" spans="1:13" x14ac:dyDescent="0.2">
      <c r="A1">
        <v>1</v>
      </c>
      <c r="B1" t="s">
        <v>68</v>
      </c>
    </row>
    <row r="2" spans="1:13" x14ac:dyDescent="0.2">
      <c r="A2">
        <v>2</v>
      </c>
      <c r="B2" t="s">
        <v>69</v>
      </c>
    </row>
    <row r="3" spans="1:13" x14ac:dyDescent="0.2">
      <c r="A3">
        <v>3</v>
      </c>
      <c r="B3" t="s">
        <v>74</v>
      </c>
    </row>
    <row r="4" spans="1:13" x14ac:dyDescent="0.2">
      <c r="A4">
        <v>4</v>
      </c>
      <c r="B4" s="88" t="s">
        <v>103</v>
      </c>
      <c r="C4" s="88"/>
      <c r="D4" s="88"/>
      <c r="E4" s="88"/>
      <c r="F4" s="88"/>
      <c r="G4" s="88"/>
      <c r="H4" s="88"/>
      <c r="I4" s="89"/>
      <c r="J4" s="89"/>
      <c r="K4" s="89"/>
      <c r="L4" s="89"/>
      <c r="M4" s="89"/>
    </row>
    <row r="6" spans="1:13" x14ac:dyDescent="0.2">
      <c r="B6" s="83" t="s">
        <v>75</v>
      </c>
    </row>
    <row r="7" spans="1:13" x14ac:dyDescent="0.2">
      <c r="C7" t="s">
        <v>76</v>
      </c>
    </row>
    <row r="8" spans="1:13" x14ac:dyDescent="0.2">
      <c r="C8" t="s">
        <v>78</v>
      </c>
    </row>
    <row r="9" spans="1:13" x14ac:dyDescent="0.2">
      <c r="C9" t="s">
        <v>77</v>
      </c>
    </row>
    <row r="11" spans="1:13" x14ac:dyDescent="0.2">
      <c r="B11" t="s">
        <v>79</v>
      </c>
    </row>
    <row r="12" spans="1:13" x14ac:dyDescent="0.2">
      <c r="C12" s="83" t="s">
        <v>80</v>
      </c>
      <c r="D12" t="s">
        <v>82</v>
      </c>
      <c r="E12" s="83" t="s">
        <v>81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13"/>
  <sheetViews>
    <sheetView workbookViewId="0">
      <selection activeCell="B6" sqref="B6:B13"/>
    </sheetView>
  </sheetViews>
  <sheetFormatPr defaultColWidth="9.14453125" defaultRowHeight="13.5" x14ac:dyDescent="0.15"/>
  <cols>
    <col min="1" max="1" width="14.52734375" style="28" customWidth="1"/>
    <col min="2" max="2" width="14.125" style="28" customWidth="1"/>
    <col min="3" max="3" width="52.328125" style="28" customWidth="1"/>
    <col min="4" max="4" width="35.109375" style="28" customWidth="1"/>
    <col min="5" max="5" width="6.859375" style="28" customWidth="1"/>
    <col min="6" max="16384" width="9.14453125" style="28"/>
  </cols>
  <sheetData>
    <row r="1" spans="1:5" x14ac:dyDescent="0.15">
      <c r="A1" s="28" t="s">
        <v>4</v>
      </c>
      <c r="D1" s="28" t="s">
        <v>0</v>
      </c>
      <c r="E1" s="28" t="s">
        <v>1</v>
      </c>
    </row>
    <row r="2" spans="1:5" ht="24.75" x14ac:dyDescent="0.15">
      <c r="A2" s="26"/>
      <c r="B2" s="26"/>
      <c r="C2" s="84" t="s">
        <v>111</v>
      </c>
      <c r="D2" s="26" t="s">
        <v>112</v>
      </c>
      <c r="E2" s="26">
        <v>2021</v>
      </c>
    </row>
    <row r="4" spans="1:5" x14ac:dyDescent="0.15">
      <c r="A4" s="28" t="s">
        <v>5</v>
      </c>
      <c r="B4" s="26" t="s">
        <v>93</v>
      </c>
      <c r="C4" s="26" t="s">
        <v>94</v>
      </c>
    </row>
    <row r="6" spans="1:5" x14ac:dyDescent="0.15">
      <c r="A6" s="28" t="s">
        <v>102</v>
      </c>
      <c r="B6" s="27">
        <v>44431</v>
      </c>
    </row>
    <row r="7" spans="1:5" x14ac:dyDescent="0.15">
      <c r="A7" s="28" t="s">
        <v>21</v>
      </c>
      <c r="B7" s="27">
        <v>44432</v>
      </c>
    </row>
    <row r="8" spans="1:5" x14ac:dyDescent="0.15">
      <c r="A8" s="28" t="s">
        <v>22</v>
      </c>
      <c r="B8" s="27">
        <v>44433</v>
      </c>
    </row>
    <row r="9" spans="1:5" x14ac:dyDescent="0.15">
      <c r="A9" s="28" t="s">
        <v>23</v>
      </c>
      <c r="B9" s="27">
        <v>44434</v>
      </c>
    </row>
    <row r="10" spans="1:5" x14ac:dyDescent="0.15">
      <c r="A10" s="28" t="s">
        <v>24</v>
      </c>
      <c r="B10" s="27">
        <v>44435</v>
      </c>
    </row>
    <row r="11" spans="1:5" x14ac:dyDescent="0.15">
      <c r="A11" s="28" t="s">
        <v>25</v>
      </c>
      <c r="B11" s="27">
        <v>44436</v>
      </c>
    </row>
    <row r="12" spans="1:5" x14ac:dyDescent="0.15">
      <c r="A12" s="28" t="s">
        <v>26</v>
      </c>
      <c r="B12" s="27">
        <v>44437</v>
      </c>
    </row>
    <row r="13" spans="1:5" x14ac:dyDescent="0.15">
      <c r="A13" s="28" t="s">
        <v>92</v>
      </c>
      <c r="B13" s="27">
        <v>44438</v>
      </c>
    </row>
  </sheetData>
  <sheetProtection formatCells="0" formatColumns="0" formatRows="0" select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P50"/>
  <sheetViews>
    <sheetView tabSelected="1" workbookViewId="0">
      <selection activeCell="N19" sqref="N19"/>
    </sheetView>
  </sheetViews>
  <sheetFormatPr defaultColWidth="9.14453125" defaultRowHeight="13.5" x14ac:dyDescent="0.15"/>
  <cols>
    <col min="1" max="1" width="18.29296875" style="19" customWidth="1"/>
    <col min="2" max="2" width="13.31640625" style="14" customWidth="1"/>
    <col min="3" max="3" width="9.953125" style="14" customWidth="1"/>
    <col min="4" max="4" width="16.54296875" style="14" customWidth="1"/>
    <col min="5" max="5" width="5.24609375" style="19" customWidth="1"/>
    <col min="6" max="6" width="37.6640625" style="19" customWidth="1"/>
    <col min="7" max="7" width="5.24609375" style="19" customWidth="1"/>
    <col min="8" max="8" width="5.109375" style="19" customWidth="1"/>
    <col min="9" max="9" width="18.4296875" style="19" customWidth="1"/>
    <col min="10" max="16" width="9.14453125" style="19"/>
    <col min="17" max="16384" width="9.14453125" style="14"/>
  </cols>
  <sheetData>
    <row r="1" spans="1:9" ht="14.25" x14ac:dyDescent="0.15">
      <c r="A1" s="19" t="s">
        <v>107</v>
      </c>
      <c r="B1" s="21" t="s">
        <v>95</v>
      </c>
      <c r="C1" s="20" t="s">
        <v>96</v>
      </c>
      <c r="D1" s="20" t="s">
        <v>97</v>
      </c>
      <c r="E1" s="19">
        <v>1</v>
      </c>
      <c r="F1" s="19" t="str">
        <f>CONCATENATE(B1," ",C1," ",D1)</f>
        <v>Фамилия Имя Отчество</v>
      </c>
      <c r="G1" s="19" t="str">
        <f t="shared" ref="G1:H3" si="0">MID(C1,1,1)</f>
        <v>И</v>
      </c>
      <c r="H1" s="19" t="str">
        <f t="shared" si="0"/>
        <v>О</v>
      </c>
      <c r="I1" s="19" t="str">
        <f>CONCATENATE(B1," ",G1,".",H1,".")</f>
        <v>Фамилия И.О.</v>
      </c>
    </row>
    <row r="2" spans="1:9" ht="14.25" x14ac:dyDescent="0.15">
      <c r="B2" s="21" t="s">
        <v>95</v>
      </c>
      <c r="C2" s="20" t="s">
        <v>96</v>
      </c>
      <c r="D2" s="20" t="s">
        <v>97</v>
      </c>
      <c r="E2" s="19">
        <v>2</v>
      </c>
      <c r="F2" s="19" t="str">
        <f>CONCATENATE(B2," ",C2," ",D2)</f>
        <v>Фамилия Имя Отчество</v>
      </c>
      <c r="G2" s="19" t="str">
        <f t="shared" si="0"/>
        <v>И</v>
      </c>
      <c r="H2" s="19" t="str">
        <f t="shared" si="0"/>
        <v>О</v>
      </c>
      <c r="I2" s="19" t="str">
        <f>CONCATENATE(B2," ",G2,".",H2,".")</f>
        <v>Фамилия И.О.</v>
      </c>
    </row>
    <row r="3" spans="1:9" ht="14.25" x14ac:dyDescent="0.15">
      <c r="B3" s="21" t="s">
        <v>95</v>
      </c>
      <c r="C3" s="20" t="s">
        <v>96</v>
      </c>
      <c r="D3" s="20" t="s">
        <v>97</v>
      </c>
      <c r="E3" s="19">
        <v>3</v>
      </c>
      <c r="F3" s="19" t="str">
        <f>CONCATENATE(B3," ",C3," ",D3)</f>
        <v>Фамилия Имя Отчество</v>
      </c>
      <c r="G3" s="19" t="str">
        <f t="shared" si="0"/>
        <v>И</v>
      </c>
      <c r="H3" s="19" t="str">
        <f t="shared" si="0"/>
        <v>О</v>
      </c>
      <c r="I3" s="19" t="str">
        <f>CONCATENATE(B3," ",G3,".",H3,".")</f>
        <v>Фамилия И.О.</v>
      </c>
    </row>
    <row r="4" spans="1:9" ht="14.25" x14ac:dyDescent="0.15">
      <c r="B4" s="21" t="s">
        <v>95</v>
      </c>
      <c r="C4" s="20" t="s">
        <v>96</v>
      </c>
      <c r="D4" s="20" t="s">
        <v>97</v>
      </c>
      <c r="E4" s="19">
        <v>4</v>
      </c>
      <c r="F4" s="19" t="str">
        <f t="shared" ref="F4:F50" si="1">CONCATENATE(B4," ",C4," ",D4)</f>
        <v>Фамилия Имя Отчество</v>
      </c>
      <c r="G4" s="19" t="str">
        <f t="shared" ref="G4:G50" si="2">MID(C4,1,1)</f>
        <v>И</v>
      </c>
      <c r="H4" s="19" t="str">
        <f t="shared" ref="H4:H50" si="3">MID(D4,1,1)</f>
        <v>О</v>
      </c>
      <c r="I4" s="19" t="str">
        <f t="shared" ref="I4:I50" si="4">CONCATENATE(B4," ",G4,".",H4,".")</f>
        <v>Фамилия И.О.</v>
      </c>
    </row>
    <row r="5" spans="1:9" ht="14.25" x14ac:dyDescent="0.15">
      <c r="B5" s="21" t="s">
        <v>95</v>
      </c>
      <c r="C5" s="20" t="s">
        <v>96</v>
      </c>
      <c r="D5" s="20" t="s">
        <v>97</v>
      </c>
      <c r="E5" s="19">
        <v>5</v>
      </c>
      <c r="F5" s="19" t="str">
        <f t="shared" si="1"/>
        <v>Фамилия Имя Отчество</v>
      </c>
      <c r="G5" s="19" t="str">
        <f t="shared" si="2"/>
        <v>И</v>
      </c>
      <c r="H5" s="19" t="str">
        <f t="shared" si="3"/>
        <v>О</v>
      </c>
      <c r="I5" s="19" t="str">
        <f t="shared" si="4"/>
        <v>Фамилия И.О.</v>
      </c>
    </row>
    <row r="6" spans="1:9" ht="14.25" x14ac:dyDescent="0.15">
      <c r="B6" s="21" t="s">
        <v>95</v>
      </c>
      <c r="C6" s="20" t="s">
        <v>96</v>
      </c>
      <c r="D6" s="20" t="s">
        <v>97</v>
      </c>
      <c r="E6" s="19">
        <v>6</v>
      </c>
      <c r="F6" s="19" t="str">
        <f t="shared" si="1"/>
        <v>Фамилия Имя Отчество</v>
      </c>
      <c r="G6" s="19" t="str">
        <f t="shared" si="2"/>
        <v>И</v>
      </c>
      <c r="H6" s="19" t="str">
        <f t="shared" si="3"/>
        <v>О</v>
      </c>
      <c r="I6" s="19" t="str">
        <f t="shared" si="4"/>
        <v>Фамилия И.О.</v>
      </c>
    </row>
    <row r="7" spans="1:9" ht="14.25" x14ac:dyDescent="0.15">
      <c r="B7" s="21" t="s">
        <v>95</v>
      </c>
      <c r="C7" s="20" t="s">
        <v>96</v>
      </c>
      <c r="D7" s="20" t="s">
        <v>97</v>
      </c>
      <c r="E7" s="19">
        <v>7</v>
      </c>
      <c r="F7" s="19" t="str">
        <f t="shared" si="1"/>
        <v>Фамилия Имя Отчество</v>
      </c>
      <c r="G7" s="19" t="str">
        <f t="shared" si="2"/>
        <v>И</v>
      </c>
      <c r="H7" s="19" t="str">
        <f t="shared" si="3"/>
        <v>О</v>
      </c>
      <c r="I7" s="19" t="str">
        <f t="shared" si="4"/>
        <v>Фамилия И.О.</v>
      </c>
    </row>
    <row r="8" spans="1:9" ht="14.25" x14ac:dyDescent="0.15">
      <c r="B8" s="21" t="s">
        <v>95</v>
      </c>
      <c r="C8" s="20" t="s">
        <v>96</v>
      </c>
      <c r="D8" s="20" t="s">
        <v>97</v>
      </c>
      <c r="E8" s="19">
        <v>8</v>
      </c>
      <c r="F8" s="19" t="str">
        <f t="shared" si="1"/>
        <v>Фамилия Имя Отчество</v>
      </c>
      <c r="G8" s="19" t="str">
        <f t="shared" si="2"/>
        <v>И</v>
      </c>
      <c r="H8" s="19" t="str">
        <f t="shared" si="3"/>
        <v>О</v>
      </c>
      <c r="I8" s="19" t="str">
        <f t="shared" si="4"/>
        <v>Фамилия И.О.</v>
      </c>
    </row>
    <row r="9" spans="1:9" ht="14.25" x14ac:dyDescent="0.15">
      <c r="B9" s="21" t="s">
        <v>95</v>
      </c>
      <c r="C9" s="20" t="s">
        <v>96</v>
      </c>
      <c r="D9" s="20" t="s">
        <v>97</v>
      </c>
      <c r="E9" s="19">
        <v>9</v>
      </c>
      <c r="F9" s="19" t="str">
        <f t="shared" si="1"/>
        <v>Фамилия Имя Отчество</v>
      </c>
      <c r="G9" s="19" t="str">
        <f t="shared" si="2"/>
        <v>И</v>
      </c>
      <c r="H9" s="19" t="str">
        <f t="shared" si="3"/>
        <v>О</v>
      </c>
      <c r="I9" s="19" t="str">
        <f t="shared" si="4"/>
        <v>Фамилия И.О.</v>
      </c>
    </row>
    <row r="10" spans="1:9" ht="14.25" x14ac:dyDescent="0.15">
      <c r="B10" s="21" t="s">
        <v>95</v>
      </c>
      <c r="C10" s="20" t="s">
        <v>96</v>
      </c>
      <c r="D10" s="20" t="s">
        <v>97</v>
      </c>
      <c r="E10" s="19">
        <v>10</v>
      </c>
      <c r="F10" s="19" t="str">
        <f t="shared" si="1"/>
        <v>Фамилия Имя Отчество</v>
      </c>
      <c r="G10" s="19" t="str">
        <f t="shared" si="2"/>
        <v>И</v>
      </c>
      <c r="H10" s="19" t="str">
        <f t="shared" si="3"/>
        <v>О</v>
      </c>
      <c r="I10" s="19" t="str">
        <f t="shared" si="4"/>
        <v>Фамилия И.О.</v>
      </c>
    </row>
    <row r="11" spans="1:9" x14ac:dyDescent="0.15">
      <c r="B11" s="20"/>
      <c r="C11" s="20"/>
      <c r="D11" s="20"/>
      <c r="E11" s="19">
        <v>11</v>
      </c>
      <c r="F11" s="19" t="str">
        <f t="shared" si="1"/>
        <v xml:space="preserve">  </v>
      </c>
      <c r="G11" s="19" t="str">
        <f t="shared" si="2"/>
        <v/>
      </c>
      <c r="H11" s="19" t="str">
        <f t="shared" si="3"/>
        <v/>
      </c>
      <c r="I11" s="19" t="str">
        <f t="shared" si="4"/>
        <v xml:space="preserve"> ..</v>
      </c>
    </row>
    <row r="12" spans="1:9" x14ac:dyDescent="0.15">
      <c r="B12" s="20"/>
      <c r="C12" s="20"/>
      <c r="D12" s="20"/>
      <c r="E12" s="19">
        <v>12</v>
      </c>
      <c r="F12" s="19" t="str">
        <f t="shared" si="1"/>
        <v xml:space="preserve">  </v>
      </c>
      <c r="G12" s="19" t="str">
        <f t="shared" si="2"/>
        <v/>
      </c>
      <c r="H12" s="19" t="str">
        <f t="shared" si="3"/>
        <v/>
      </c>
      <c r="I12" s="19" t="str">
        <f t="shared" si="4"/>
        <v xml:space="preserve"> ..</v>
      </c>
    </row>
    <row r="13" spans="1:9" x14ac:dyDescent="0.15">
      <c r="B13" s="20"/>
      <c r="C13" s="20"/>
      <c r="D13" s="20"/>
      <c r="E13" s="19">
        <v>13</v>
      </c>
      <c r="F13" s="19" t="str">
        <f t="shared" si="1"/>
        <v xml:space="preserve">  </v>
      </c>
      <c r="G13" s="19" t="str">
        <f t="shared" si="2"/>
        <v/>
      </c>
      <c r="H13" s="19" t="str">
        <f t="shared" si="3"/>
        <v/>
      </c>
      <c r="I13" s="19" t="str">
        <f t="shared" si="4"/>
        <v xml:space="preserve"> ..</v>
      </c>
    </row>
    <row r="14" spans="1:9" x14ac:dyDescent="0.15">
      <c r="B14" s="20"/>
      <c r="C14" s="20"/>
      <c r="D14" s="20"/>
      <c r="E14" s="19">
        <v>14</v>
      </c>
      <c r="F14" s="19" t="str">
        <f t="shared" si="1"/>
        <v xml:space="preserve">  </v>
      </c>
      <c r="G14" s="19" t="str">
        <f t="shared" si="2"/>
        <v/>
      </c>
      <c r="H14" s="19" t="str">
        <f t="shared" si="3"/>
        <v/>
      </c>
      <c r="I14" s="19" t="str">
        <f t="shared" si="4"/>
        <v xml:space="preserve"> ..</v>
      </c>
    </row>
    <row r="15" spans="1:9" x14ac:dyDescent="0.15">
      <c r="B15" s="20"/>
      <c r="C15" s="20"/>
      <c r="D15" s="20"/>
      <c r="E15" s="19">
        <v>15</v>
      </c>
      <c r="F15" s="19" t="str">
        <f t="shared" si="1"/>
        <v xml:space="preserve">  </v>
      </c>
      <c r="G15" s="19" t="str">
        <f t="shared" si="2"/>
        <v/>
      </c>
      <c r="H15" s="19" t="str">
        <f t="shared" si="3"/>
        <v/>
      </c>
      <c r="I15" s="19" t="str">
        <f t="shared" si="4"/>
        <v xml:space="preserve"> ..</v>
      </c>
    </row>
    <row r="16" spans="1:9" x14ac:dyDescent="0.15">
      <c r="B16" s="20"/>
      <c r="C16" s="20"/>
      <c r="D16" s="20"/>
      <c r="E16" s="19">
        <v>16</v>
      </c>
      <c r="F16" s="19" t="str">
        <f t="shared" si="1"/>
        <v xml:space="preserve">  </v>
      </c>
      <c r="G16" s="19" t="str">
        <f t="shared" si="2"/>
        <v/>
      </c>
      <c r="H16" s="19" t="str">
        <f t="shared" si="3"/>
        <v/>
      </c>
      <c r="I16" s="19" t="str">
        <f t="shared" si="4"/>
        <v xml:space="preserve"> ..</v>
      </c>
    </row>
    <row r="17" spans="2:9" x14ac:dyDescent="0.15">
      <c r="B17" s="20"/>
      <c r="C17" s="20"/>
      <c r="D17" s="20"/>
      <c r="E17" s="19">
        <v>17</v>
      </c>
      <c r="F17" s="19" t="str">
        <f t="shared" si="1"/>
        <v xml:space="preserve">  </v>
      </c>
      <c r="G17" s="19" t="str">
        <f t="shared" si="2"/>
        <v/>
      </c>
      <c r="H17" s="19" t="str">
        <f t="shared" si="3"/>
        <v/>
      </c>
      <c r="I17" s="19" t="str">
        <f t="shared" si="4"/>
        <v xml:space="preserve"> ..</v>
      </c>
    </row>
    <row r="18" spans="2:9" x14ac:dyDescent="0.15">
      <c r="B18" s="20"/>
      <c r="C18" s="20"/>
      <c r="D18" s="20"/>
      <c r="E18" s="19">
        <v>18</v>
      </c>
      <c r="F18" s="19" t="str">
        <f t="shared" si="1"/>
        <v xml:space="preserve">  </v>
      </c>
      <c r="G18" s="19" t="str">
        <f t="shared" si="2"/>
        <v/>
      </c>
      <c r="H18" s="19" t="str">
        <f t="shared" si="3"/>
        <v/>
      </c>
      <c r="I18" s="19" t="str">
        <f t="shared" si="4"/>
        <v xml:space="preserve"> ..</v>
      </c>
    </row>
    <row r="19" spans="2:9" x14ac:dyDescent="0.15">
      <c r="B19" s="20"/>
      <c r="C19" s="20"/>
      <c r="D19" s="20"/>
      <c r="E19" s="19">
        <v>19</v>
      </c>
      <c r="F19" s="19" t="str">
        <f t="shared" si="1"/>
        <v xml:space="preserve">  </v>
      </c>
      <c r="G19" s="19" t="str">
        <f t="shared" si="2"/>
        <v/>
      </c>
      <c r="H19" s="19" t="str">
        <f t="shared" si="3"/>
        <v/>
      </c>
      <c r="I19" s="19" t="str">
        <f t="shared" si="4"/>
        <v xml:space="preserve"> ..</v>
      </c>
    </row>
    <row r="20" spans="2:9" x14ac:dyDescent="0.15">
      <c r="B20" s="20"/>
      <c r="C20" s="20"/>
      <c r="D20" s="20"/>
      <c r="E20" s="19">
        <v>20</v>
      </c>
      <c r="F20" s="19" t="str">
        <f t="shared" si="1"/>
        <v xml:space="preserve">  </v>
      </c>
      <c r="G20" s="19" t="str">
        <f t="shared" si="2"/>
        <v/>
      </c>
      <c r="H20" s="19" t="str">
        <f t="shared" si="3"/>
        <v/>
      </c>
      <c r="I20" s="19" t="str">
        <f t="shared" si="4"/>
        <v xml:space="preserve"> ..</v>
      </c>
    </row>
    <row r="21" spans="2:9" x14ac:dyDescent="0.15">
      <c r="B21" s="20"/>
      <c r="C21" s="20"/>
      <c r="D21" s="20"/>
      <c r="E21" s="19">
        <v>21</v>
      </c>
      <c r="F21" s="19" t="str">
        <f t="shared" si="1"/>
        <v xml:space="preserve">  </v>
      </c>
      <c r="G21" s="19" t="str">
        <f t="shared" si="2"/>
        <v/>
      </c>
      <c r="H21" s="19" t="str">
        <f t="shared" si="3"/>
        <v/>
      </c>
      <c r="I21" s="19" t="str">
        <f t="shared" si="4"/>
        <v xml:space="preserve"> ..</v>
      </c>
    </row>
    <row r="22" spans="2:9" x14ac:dyDescent="0.15">
      <c r="B22" s="20"/>
      <c r="C22" s="20"/>
      <c r="D22" s="20"/>
      <c r="E22" s="19">
        <v>22</v>
      </c>
      <c r="F22" s="19" t="str">
        <f t="shared" si="1"/>
        <v xml:space="preserve">  </v>
      </c>
      <c r="G22" s="19" t="str">
        <f t="shared" si="2"/>
        <v/>
      </c>
      <c r="H22" s="19" t="str">
        <f t="shared" si="3"/>
        <v/>
      </c>
      <c r="I22" s="19" t="str">
        <f t="shared" si="4"/>
        <v xml:space="preserve"> ..</v>
      </c>
    </row>
    <row r="23" spans="2:9" x14ac:dyDescent="0.15">
      <c r="B23" s="20"/>
      <c r="C23" s="20"/>
      <c r="D23" s="20"/>
      <c r="E23" s="19">
        <v>23</v>
      </c>
      <c r="F23" s="19" t="str">
        <f t="shared" si="1"/>
        <v xml:space="preserve">  </v>
      </c>
      <c r="G23" s="19" t="str">
        <f t="shared" si="2"/>
        <v/>
      </c>
      <c r="H23" s="19" t="str">
        <f t="shared" si="3"/>
        <v/>
      </c>
      <c r="I23" s="19" t="str">
        <f t="shared" si="4"/>
        <v xml:space="preserve"> ..</v>
      </c>
    </row>
    <row r="24" spans="2:9" x14ac:dyDescent="0.15">
      <c r="B24" s="20"/>
      <c r="C24" s="20"/>
      <c r="D24" s="20"/>
      <c r="E24" s="19">
        <v>24</v>
      </c>
      <c r="F24" s="19" t="str">
        <f t="shared" si="1"/>
        <v xml:space="preserve">  </v>
      </c>
      <c r="G24" s="19" t="str">
        <f t="shared" si="2"/>
        <v/>
      </c>
      <c r="H24" s="19" t="str">
        <f t="shared" si="3"/>
        <v/>
      </c>
      <c r="I24" s="19" t="str">
        <f t="shared" si="4"/>
        <v xml:space="preserve"> ..</v>
      </c>
    </row>
    <row r="25" spans="2:9" x14ac:dyDescent="0.15">
      <c r="B25" s="20"/>
      <c r="C25" s="20"/>
      <c r="D25" s="20"/>
      <c r="E25" s="19">
        <v>25</v>
      </c>
      <c r="F25" s="19" t="str">
        <f t="shared" si="1"/>
        <v xml:space="preserve">  </v>
      </c>
      <c r="G25" s="19" t="str">
        <f t="shared" si="2"/>
        <v/>
      </c>
      <c r="H25" s="19" t="str">
        <f t="shared" si="3"/>
        <v/>
      </c>
      <c r="I25" s="19" t="str">
        <f t="shared" si="4"/>
        <v xml:space="preserve"> ..</v>
      </c>
    </row>
    <row r="26" spans="2:9" x14ac:dyDescent="0.15">
      <c r="B26" s="20"/>
      <c r="C26" s="20"/>
      <c r="D26" s="20"/>
      <c r="E26" s="19">
        <v>26</v>
      </c>
      <c r="F26" s="19" t="str">
        <f t="shared" si="1"/>
        <v xml:space="preserve">  </v>
      </c>
      <c r="G26" s="19" t="str">
        <f t="shared" si="2"/>
        <v/>
      </c>
      <c r="H26" s="19" t="str">
        <f t="shared" si="3"/>
        <v/>
      </c>
      <c r="I26" s="19" t="str">
        <f t="shared" si="4"/>
        <v xml:space="preserve"> ..</v>
      </c>
    </row>
    <row r="27" spans="2:9" x14ac:dyDescent="0.15">
      <c r="B27" s="20"/>
      <c r="C27" s="20"/>
      <c r="D27" s="20"/>
      <c r="E27" s="19">
        <v>27</v>
      </c>
      <c r="F27" s="19" t="str">
        <f t="shared" si="1"/>
        <v xml:space="preserve">  </v>
      </c>
      <c r="G27" s="19" t="str">
        <f t="shared" si="2"/>
        <v/>
      </c>
      <c r="H27" s="19" t="str">
        <f t="shared" si="3"/>
        <v/>
      </c>
      <c r="I27" s="19" t="str">
        <f t="shared" si="4"/>
        <v xml:space="preserve"> ..</v>
      </c>
    </row>
    <row r="28" spans="2:9" x14ac:dyDescent="0.15">
      <c r="B28" s="20"/>
      <c r="C28" s="20"/>
      <c r="D28" s="20"/>
      <c r="E28" s="19">
        <v>28</v>
      </c>
      <c r="F28" s="19" t="str">
        <f t="shared" si="1"/>
        <v xml:space="preserve">  </v>
      </c>
      <c r="G28" s="19" t="str">
        <f t="shared" si="2"/>
        <v/>
      </c>
      <c r="H28" s="19" t="str">
        <f t="shared" si="3"/>
        <v/>
      </c>
      <c r="I28" s="19" t="str">
        <f t="shared" si="4"/>
        <v xml:space="preserve"> ..</v>
      </c>
    </row>
    <row r="29" spans="2:9" x14ac:dyDescent="0.15">
      <c r="B29" s="20"/>
      <c r="C29" s="20"/>
      <c r="D29" s="20"/>
      <c r="E29" s="19">
        <v>29</v>
      </c>
      <c r="F29" s="19" t="str">
        <f t="shared" si="1"/>
        <v xml:space="preserve">  </v>
      </c>
      <c r="G29" s="19" t="str">
        <f t="shared" si="2"/>
        <v/>
      </c>
      <c r="H29" s="19" t="str">
        <f t="shared" si="3"/>
        <v/>
      </c>
      <c r="I29" s="19" t="str">
        <f t="shared" si="4"/>
        <v xml:space="preserve"> ..</v>
      </c>
    </row>
    <row r="30" spans="2:9" x14ac:dyDescent="0.15">
      <c r="B30" s="20"/>
      <c r="C30" s="20"/>
      <c r="D30" s="20"/>
      <c r="E30" s="19">
        <v>30</v>
      </c>
      <c r="F30" s="19" t="str">
        <f t="shared" si="1"/>
        <v xml:space="preserve">  </v>
      </c>
      <c r="G30" s="19" t="str">
        <f t="shared" si="2"/>
        <v/>
      </c>
      <c r="H30" s="19" t="str">
        <f t="shared" si="3"/>
        <v/>
      </c>
      <c r="I30" s="19" t="str">
        <f t="shared" si="4"/>
        <v xml:space="preserve"> ..</v>
      </c>
    </row>
    <row r="31" spans="2:9" x14ac:dyDescent="0.15">
      <c r="B31" s="20"/>
      <c r="C31" s="20"/>
      <c r="D31" s="20"/>
      <c r="E31" s="19">
        <v>31</v>
      </c>
      <c r="F31" s="19" t="str">
        <f t="shared" si="1"/>
        <v xml:space="preserve">  </v>
      </c>
      <c r="G31" s="19" t="str">
        <f t="shared" si="2"/>
        <v/>
      </c>
      <c r="H31" s="19" t="str">
        <f t="shared" si="3"/>
        <v/>
      </c>
      <c r="I31" s="19" t="str">
        <f t="shared" si="4"/>
        <v xml:space="preserve"> ..</v>
      </c>
    </row>
    <row r="32" spans="2:9" x14ac:dyDescent="0.15">
      <c r="B32" s="20"/>
      <c r="C32" s="20"/>
      <c r="D32" s="20"/>
      <c r="E32" s="19">
        <v>32</v>
      </c>
      <c r="F32" s="19" t="str">
        <f t="shared" si="1"/>
        <v xml:space="preserve">  </v>
      </c>
      <c r="G32" s="19" t="str">
        <f t="shared" si="2"/>
        <v/>
      </c>
      <c r="H32" s="19" t="str">
        <f t="shared" si="3"/>
        <v/>
      </c>
      <c r="I32" s="19" t="str">
        <f t="shared" si="4"/>
        <v xml:space="preserve"> ..</v>
      </c>
    </row>
    <row r="33" spans="2:9" x14ac:dyDescent="0.15">
      <c r="B33" s="20"/>
      <c r="C33" s="20"/>
      <c r="D33" s="20"/>
      <c r="E33" s="19">
        <v>33</v>
      </c>
      <c r="F33" s="19" t="str">
        <f t="shared" si="1"/>
        <v xml:space="preserve">  </v>
      </c>
      <c r="G33" s="19" t="str">
        <f t="shared" si="2"/>
        <v/>
      </c>
      <c r="H33" s="19" t="str">
        <f t="shared" si="3"/>
        <v/>
      </c>
      <c r="I33" s="19" t="str">
        <f t="shared" si="4"/>
        <v xml:space="preserve"> ..</v>
      </c>
    </row>
    <row r="34" spans="2:9" x14ac:dyDescent="0.15">
      <c r="B34" s="20"/>
      <c r="C34" s="20"/>
      <c r="D34" s="20"/>
      <c r="E34" s="19">
        <v>34</v>
      </c>
      <c r="F34" s="19" t="str">
        <f t="shared" si="1"/>
        <v xml:space="preserve">  </v>
      </c>
      <c r="G34" s="19" t="str">
        <f t="shared" si="2"/>
        <v/>
      </c>
      <c r="H34" s="19" t="str">
        <f t="shared" si="3"/>
        <v/>
      </c>
      <c r="I34" s="19" t="str">
        <f t="shared" si="4"/>
        <v xml:space="preserve"> ..</v>
      </c>
    </row>
    <row r="35" spans="2:9" x14ac:dyDescent="0.15">
      <c r="B35" s="20"/>
      <c r="C35" s="20"/>
      <c r="D35" s="20"/>
      <c r="E35" s="19">
        <v>35</v>
      </c>
      <c r="F35" s="19" t="str">
        <f t="shared" si="1"/>
        <v xml:space="preserve">  </v>
      </c>
      <c r="G35" s="19" t="str">
        <f t="shared" si="2"/>
        <v/>
      </c>
      <c r="H35" s="19" t="str">
        <f t="shared" si="3"/>
        <v/>
      </c>
      <c r="I35" s="19" t="str">
        <f t="shared" si="4"/>
        <v xml:space="preserve"> ..</v>
      </c>
    </row>
    <row r="36" spans="2:9" x14ac:dyDescent="0.15">
      <c r="B36" s="20"/>
      <c r="C36" s="20"/>
      <c r="D36" s="20"/>
      <c r="E36" s="19">
        <v>36</v>
      </c>
      <c r="F36" s="19" t="str">
        <f t="shared" si="1"/>
        <v xml:space="preserve">  </v>
      </c>
      <c r="G36" s="19" t="str">
        <f t="shared" si="2"/>
        <v/>
      </c>
      <c r="H36" s="19" t="str">
        <f t="shared" si="3"/>
        <v/>
      </c>
      <c r="I36" s="19" t="str">
        <f t="shared" si="4"/>
        <v xml:space="preserve"> ..</v>
      </c>
    </row>
    <row r="37" spans="2:9" x14ac:dyDescent="0.15">
      <c r="B37" s="20"/>
      <c r="C37" s="20"/>
      <c r="D37" s="20"/>
      <c r="E37" s="19">
        <v>37</v>
      </c>
      <c r="F37" s="19" t="str">
        <f t="shared" si="1"/>
        <v xml:space="preserve">  </v>
      </c>
      <c r="G37" s="19" t="str">
        <f t="shared" si="2"/>
        <v/>
      </c>
      <c r="H37" s="19" t="str">
        <f t="shared" si="3"/>
        <v/>
      </c>
      <c r="I37" s="19" t="str">
        <f t="shared" si="4"/>
        <v xml:space="preserve"> ..</v>
      </c>
    </row>
    <row r="38" spans="2:9" x14ac:dyDescent="0.15">
      <c r="B38" s="20"/>
      <c r="C38" s="20"/>
      <c r="D38" s="20"/>
      <c r="E38" s="19">
        <v>38</v>
      </c>
      <c r="F38" s="19" t="str">
        <f t="shared" si="1"/>
        <v xml:space="preserve">  </v>
      </c>
      <c r="G38" s="19" t="str">
        <f t="shared" si="2"/>
        <v/>
      </c>
      <c r="H38" s="19" t="str">
        <f t="shared" si="3"/>
        <v/>
      </c>
      <c r="I38" s="19" t="str">
        <f t="shared" si="4"/>
        <v xml:space="preserve"> ..</v>
      </c>
    </row>
    <row r="39" spans="2:9" x14ac:dyDescent="0.15">
      <c r="B39" s="20"/>
      <c r="C39" s="20"/>
      <c r="D39" s="20"/>
      <c r="E39" s="19">
        <v>39</v>
      </c>
      <c r="F39" s="19" t="str">
        <f t="shared" si="1"/>
        <v xml:space="preserve">  </v>
      </c>
      <c r="G39" s="19" t="str">
        <f t="shared" si="2"/>
        <v/>
      </c>
      <c r="H39" s="19" t="str">
        <f t="shared" si="3"/>
        <v/>
      </c>
      <c r="I39" s="19" t="str">
        <f t="shared" si="4"/>
        <v xml:space="preserve"> ..</v>
      </c>
    </row>
    <row r="40" spans="2:9" x14ac:dyDescent="0.15">
      <c r="B40" s="20"/>
      <c r="C40" s="20"/>
      <c r="D40" s="20"/>
      <c r="E40" s="19">
        <v>40</v>
      </c>
      <c r="F40" s="19" t="str">
        <f t="shared" si="1"/>
        <v xml:space="preserve">  </v>
      </c>
      <c r="G40" s="19" t="str">
        <f t="shared" si="2"/>
        <v/>
      </c>
      <c r="H40" s="19" t="str">
        <f t="shared" si="3"/>
        <v/>
      </c>
      <c r="I40" s="19" t="str">
        <f t="shared" si="4"/>
        <v xml:space="preserve"> ..</v>
      </c>
    </row>
    <row r="41" spans="2:9" x14ac:dyDescent="0.15">
      <c r="B41" s="20"/>
      <c r="C41" s="20"/>
      <c r="D41" s="20"/>
      <c r="E41" s="19">
        <v>41</v>
      </c>
      <c r="F41" s="19" t="str">
        <f t="shared" si="1"/>
        <v xml:space="preserve">  </v>
      </c>
      <c r="G41" s="19" t="str">
        <f t="shared" si="2"/>
        <v/>
      </c>
      <c r="H41" s="19" t="str">
        <f t="shared" si="3"/>
        <v/>
      </c>
      <c r="I41" s="19" t="str">
        <f t="shared" si="4"/>
        <v xml:space="preserve"> ..</v>
      </c>
    </row>
    <row r="42" spans="2:9" x14ac:dyDescent="0.15">
      <c r="B42" s="20"/>
      <c r="C42" s="20"/>
      <c r="D42" s="20"/>
      <c r="E42" s="19">
        <v>42</v>
      </c>
      <c r="F42" s="19" t="str">
        <f t="shared" si="1"/>
        <v xml:space="preserve">  </v>
      </c>
      <c r="G42" s="19" t="str">
        <f t="shared" si="2"/>
        <v/>
      </c>
      <c r="H42" s="19" t="str">
        <f t="shared" si="3"/>
        <v/>
      </c>
      <c r="I42" s="19" t="str">
        <f t="shared" si="4"/>
        <v xml:space="preserve"> ..</v>
      </c>
    </row>
    <row r="43" spans="2:9" x14ac:dyDescent="0.15">
      <c r="B43" s="20"/>
      <c r="C43" s="20"/>
      <c r="D43" s="20"/>
      <c r="E43" s="19">
        <v>43</v>
      </c>
      <c r="F43" s="19" t="str">
        <f t="shared" si="1"/>
        <v xml:space="preserve">  </v>
      </c>
      <c r="G43" s="19" t="str">
        <f t="shared" si="2"/>
        <v/>
      </c>
      <c r="H43" s="19" t="str">
        <f t="shared" si="3"/>
        <v/>
      </c>
      <c r="I43" s="19" t="str">
        <f t="shared" si="4"/>
        <v xml:space="preserve"> ..</v>
      </c>
    </row>
    <row r="44" spans="2:9" x14ac:dyDescent="0.15">
      <c r="B44" s="20"/>
      <c r="C44" s="20"/>
      <c r="D44" s="20"/>
      <c r="E44" s="19">
        <v>44</v>
      </c>
      <c r="F44" s="19" t="str">
        <f t="shared" si="1"/>
        <v xml:space="preserve">  </v>
      </c>
      <c r="G44" s="19" t="str">
        <f t="shared" si="2"/>
        <v/>
      </c>
      <c r="H44" s="19" t="str">
        <f t="shared" si="3"/>
        <v/>
      </c>
      <c r="I44" s="19" t="str">
        <f t="shared" si="4"/>
        <v xml:space="preserve"> ..</v>
      </c>
    </row>
    <row r="45" spans="2:9" x14ac:dyDescent="0.15">
      <c r="B45" s="20"/>
      <c r="C45" s="20"/>
      <c r="D45" s="20"/>
      <c r="E45" s="19">
        <v>45</v>
      </c>
      <c r="F45" s="19" t="str">
        <f t="shared" si="1"/>
        <v xml:space="preserve">  </v>
      </c>
      <c r="G45" s="19" t="str">
        <f t="shared" si="2"/>
        <v/>
      </c>
      <c r="H45" s="19" t="str">
        <f t="shared" si="3"/>
        <v/>
      </c>
      <c r="I45" s="19" t="str">
        <f t="shared" si="4"/>
        <v xml:space="preserve"> ..</v>
      </c>
    </row>
    <row r="46" spans="2:9" x14ac:dyDescent="0.15">
      <c r="B46" s="20"/>
      <c r="C46" s="20"/>
      <c r="D46" s="20"/>
      <c r="E46" s="19">
        <v>46</v>
      </c>
      <c r="F46" s="19" t="str">
        <f t="shared" si="1"/>
        <v xml:space="preserve">  </v>
      </c>
      <c r="G46" s="19" t="str">
        <f t="shared" si="2"/>
        <v/>
      </c>
      <c r="H46" s="19" t="str">
        <f t="shared" si="3"/>
        <v/>
      </c>
      <c r="I46" s="19" t="str">
        <f t="shared" si="4"/>
        <v xml:space="preserve"> ..</v>
      </c>
    </row>
    <row r="47" spans="2:9" x14ac:dyDescent="0.15">
      <c r="B47" s="20"/>
      <c r="C47" s="20"/>
      <c r="D47" s="20"/>
      <c r="E47" s="19">
        <v>47</v>
      </c>
      <c r="F47" s="19" t="str">
        <f t="shared" si="1"/>
        <v xml:space="preserve">  </v>
      </c>
      <c r="G47" s="19" t="str">
        <f t="shared" si="2"/>
        <v/>
      </c>
      <c r="H47" s="19" t="str">
        <f t="shared" si="3"/>
        <v/>
      </c>
      <c r="I47" s="19" t="str">
        <f t="shared" si="4"/>
        <v xml:space="preserve"> ..</v>
      </c>
    </row>
    <row r="48" spans="2:9" x14ac:dyDescent="0.15">
      <c r="B48" s="20"/>
      <c r="C48" s="20"/>
      <c r="D48" s="20"/>
      <c r="E48" s="19">
        <v>48</v>
      </c>
      <c r="F48" s="19" t="str">
        <f t="shared" si="1"/>
        <v xml:space="preserve">  </v>
      </c>
      <c r="G48" s="19" t="str">
        <f t="shared" si="2"/>
        <v/>
      </c>
      <c r="H48" s="19" t="str">
        <f t="shared" si="3"/>
        <v/>
      </c>
      <c r="I48" s="19" t="str">
        <f t="shared" si="4"/>
        <v xml:space="preserve"> ..</v>
      </c>
    </row>
    <row r="49" spans="2:9" x14ac:dyDescent="0.15">
      <c r="B49" s="20"/>
      <c r="C49" s="20"/>
      <c r="D49" s="20"/>
      <c r="E49" s="19">
        <v>49</v>
      </c>
      <c r="F49" s="19" t="str">
        <f t="shared" si="1"/>
        <v xml:space="preserve">  </v>
      </c>
      <c r="G49" s="19" t="str">
        <f t="shared" si="2"/>
        <v/>
      </c>
      <c r="H49" s="19" t="str">
        <f t="shared" si="3"/>
        <v/>
      </c>
      <c r="I49" s="19" t="str">
        <f t="shared" si="4"/>
        <v xml:space="preserve"> ..</v>
      </c>
    </row>
    <row r="50" spans="2:9" x14ac:dyDescent="0.15">
      <c r="B50" s="20"/>
      <c r="C50" s="20"/>
      <c r="D50" s="20"/>
      <c r="E50" s="19">
        <v>50</v>
      </c>
      <c r="F50" s="19" t="str">
        <f t="shared" si="1"/>
        <v xml:space="preserve">  </v>
      </c>
      <c r="G50" s="19" t="str">
        <f t="shared" si="2"/>
        <v/>
      </c>
      <c r="H50" s="19" t="str">
        <f t="shared" si="3"/>
        <v/>
      </c>
      <c r="I50" s="19" t="str">
        <f t="shared" si="4"/>
        <v xml:space="preserve"> ..</v>
      </c>
    </row>
  </sheetData>
  <sheetProtection formatCells="0" formatColumns="0" formatRows="0" selectLockedCells="1"/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F50"/>
  <sheetViews>
    <sheetView view="pageBreakPreview" zoomScaleNormal="100" zoomScaleSheetLayoutView="100" workbookViewId="0">
      <selection activeCell="D58" sqref="D58"/>
    </sheetView>
  </sheetViews>
  <sheetFormatPr defaultColWidth="9.14453125" defaultRowHeight="13.5" x14ac:dyDescent="0.15"/>
  <cols>
    <col min="1" max="1" width="11.43359375" style="19" customWidth="1"/>
    <col min="2" max="2" width="13.31640625" style="19" customWidth="1"/>
    <col min="3" max="3" width="11.703125" style="19" customWidth="1"/>
    <col min="4" max="4" width="15.33203125" style="19" customWidth="1"/>
    <col min="5" max="5" width="5.24609375" style="19" customWidth="1"/>
    <col min="6" max="6" width="33.08984375" style="19" customWidth="1"/>
    <col min="7" max="16384" width="9.14453125" style="19"/>
  </cols>
  <sheetData>
    <row r="1" spans="1:6" ht="14.25" x14ac:dyDescent="0.15">
      <c r="A1" s="19" t="s">
        <v>17</v>
      </c>
      <c r="B1" s="30" t="s">
        <v>95</v>
      </c>
      <c r="C1" s="29" t="s">
        <v>96</v>
      </c>
      <c r="D1" s="29" t="s">
        <v>97</v>
      </c>
      <c r="E1" s="19">
        <v>1</v>
      </c>
      <c r="F1" s="19" t="str">
        <f>CONCATENATE(B1," ",C1," ",D1)</f>
        <v>Фамилия Имя Отчество</v>
      </c>
    </row>
    <row r="2" spans="1:6" ht="14.25" x14ac:dyDescent="0.15">
      <c r="B2" s="30" t="s">
        <v>95</v>
      </c>
      <c r="C2" s="29" t="s">
        <v>96</v>
      </c>
      <c r="D2" s="29" t="s">
        <v>97</v>
      </c>
      <c r="E2" s="19">
        <v>2</v>
      </c>
      <c r="F2" s="19" t="str">
        <f t="shared" ref="F2:F50" si="0">CONCATENATE(B2," ",C2," ",D2)</f>
        <v>Фамилия Имя Отчество</v>
      </c>
    </row>
    <row r="3" spans="1:6" ht="14.25" x14ac:dyDescent="0.15">
      <c r="B3" s="30" t="s">
        <v>95</v>
      </c>
      <c r="C3" s="29" t="s">
        <v>96</v>
      </c>
      <c r="D3" s="29" t="s">
        <v>97</v>
      </c>
      <c r="E3" s="19">
        <v>3</v>
      </c>
      <c r="F3" s="19" t="str">
        <f t="shared" si="0"/>
        <v>Фамилия Имя Отчество</v>
      </c>
    </row>
    <row r="4" spans="1:6" ht="14.25" x14ac:dyDescent="0.15">
      <c r="B4" s="30" t="s">
        <v>95</v>
      </c>
      <c r="C4" s="29" t="s">
        <v>96</v>
      </c>
      <c r="D4" s="29" t="s">
        <v>97</v>
      </c>
      <c r="E4" s="19">
        <v>4</v>
      </c>
      <c r="F4" s="19" t="str">
        <f t="shared" si="0"/>
        <v>Фамилия Имя Отчество</v>
      </c>
    </row>
    <row r="5" spans="1:6" ht="14.25" x14ac:dyDescent="0.15">
      <c r="B5" s="30" t="s">
        <v>95</v>
      </c>
      <c r="C5" s="29" t="s">
        <v>96</v>
      </c>
      <c r="D5" s="29" t="s">
        <v>97</v>
      </c>
      <c r="E5" s="19">
        <v>5</v>
      </c>
      <c r="F5" s="19" t="str">
        <f t="shared" si="0"/>
        <v>Фамилия Имя Отчество</v>
      </c>
    </row>
    <row r="6" spans="1:6" ht="14.25" x14ac:dyDescent="0.15">
      <c r="B6" s="30" t="s">
        <v>95</v>
      </c>
      <c r="C6" s="29" t="s">
        <v>96</v>
      </c>
      <c r="D6" s="29" t="s">
        <v>97</v>
      </c>
      <c r="E6" s="19">
        <v>6</v>
      </c>
      <c r="F6" s="19" t="str">
        <f t="shared" si="0"/>
        <v>Фамилия Имя Отчество</v>
      </c>
    </row>
    <row r="7" spans="1:6" ht="14.25" x14ac:dyDescent="0.15">
      <c r="B7" s="30" t="s">
        <v>95</v>
      </c>
      <c r="C7" s="29" t="s">
        <v>96</v>
      </c>
      <c r="D7" s="29" t="s">
        <v>97</v>
      </c>
      <c r="E7" s="19">
        <v>7</v>
      </c>
      <c r="F7" s="19" t="str">
        <f t="shared" si="0"/>
        <v>Фамилия Имя Отчество</v>
      </c>
    </row>
    <row r="8" spans="1:6" ht="14.25" x14ac:dyDescent="0.15">
      <c r="B8" s="30" t="s">
        <v>95</v>
      </c>
      <c r="C8" s="29" t="s">
        <v>96</v>
      </c>
      <c r="D8" s="29" t="s">
        <v>97</v>
      </c>
      <c r="E8" s="19">
        <v>8</v>
      </c>
      <c r="F8" s="19" t="str">
        <f t="shared" si="0"/>
        <v>Фамилия Имя Отчество</v>
      </c>
    </row>
    <row r="9" spans="1:6" ht="14.25" x14ac:dyDescent="0.15">
      <c r="B9" s="30" t="s">
        <v>95</v>
      </c>
      <c r="C9" s="29" t="s">
        <v>96</v>
      </c>
      <c r="D9" s="29" t="s">
        <v>97</v>
      </c>
      <c r="E9" s="19">
        <v>9</v>
      </c>
      <c r="F9" s="19" t="str">
        <f t="shared" si="0"/>
        <v>Фамилия Имя Отчество</v>
      </c>
    </row>
    <row r="10" spans="1:6" ht="14.25" x14ac:dyDescent="0.15">
      <c r="B10" s="30" t="s">
        <v>95</v>
      </c>
      <c r="C10" s="29" t="s">
        <v>96</v>
      </c>
      <c r="D10" s="29" t="s">
        <v>97</v>
      </c>
      <c r="E10" s="19">
        <v>10</v>
      </c>
      <c r="F10" s="19" t="str">
        <f t="shared" si="0"/>
        <v>Фамилия Имя Отчество</v>
      </c>
    </row>
    <row r="11" spans="1:6" ht="14.25" x14ac:dyDescent="0.15">
      <c r="B11" s="30" t="s">
        <v>95</v>
      </c>
      <c r="C11" s="29" t="s">
        <v>96</v>
      </c>
      <c r="D11" s="29" t="s">
        <v>97</v>
      </c>
      <c r="E11" s="19">
        <v>11</v>
      </c>
      <c r="F11" s="19" t="str">
        <f t="shared" si="0"/>
        <v>Фамилия Имя Отчество</v>
      </c>
    </row>
    <row r="12" spans="1:6" ht="14.25" x14ac:dyDescent="0.15">
      <c r="B12" s="30" t="s">
        <v>95</v>
      </c>
      <c r="C12" s="29" t="s">
        <v>96</v>
      </c>
      <c r="D12" s="29" t="s">
        <v>97</v>
      </c>
      <c r="E12" s="19">
        <v>12</v>
      </c>
      <c r="F12" s="19" t="str">
        <f t="shared" si="0"/>
        <v>Фамилия Имя Отчество</v>
      </c>
    </row>
    <row r="13" spans="1:6" ht="14.25" x14ac:dyDescent="0.15">
      <c r="B13" s="30" t="s">
        <v>95</v>
      </c>
      <c r="C13" s="29" t="s">
        <v>96</v>
      </c>
      <c r="D13" s="29" t="s">
        <v>97</v>
      </c>
      <c r="E13" s="19">
        <v>13</v>
      </c>
      <c r="F13" s="19" t="str">
        <f t="shared" si="0"/>
        <v>Фамилия Имя Отчество</v>
      </c>
    </row>
    <row r="14" spans="1:6" ht="14.25" x14ac:dyDescent="0.15">
      <c r="B14" s="30" t="s">
        <v>95</v>
      </c>
      <c r="C14" s="29" t="s">
        <v>96</v>
      </c>
      <c r="D14" s="29" t="s">
        <v>97</v>
      </c>
      <c r="E14" s="19">
        <v>14</v>
      </c>
      <c r="F14" s="19" t="str">
        <f t="shared" si="0"/>
        <v>Фамилия Имя Отчество</v>
      </c>
    </row>
    <row r="15" spans="1:6" hidden="1" x14ac:dyDescent="0.15">
      <c r="B15" s="29"/>
      <c r="C15" s="29"/>
      <c r="D15" s="29"/>
      <c r="E15" s="19">
        <v>15</v>
      </c>
      <c r="F15" s="19" t="str">
        <f t="shared" si="0"/>
        <v xml:space="preserve">  </v>
      </c>
    </row>
    <row r="16" spans="1:6" hidden="1" x14ac:dyDescent="0.15">
      <c r="B16" s="29"/>
      <c r="C16" s="29"/>
      <c r="D16" s="29"/>
      <c r="E16" s="19">
        <v>16</v>
      </c>
      <c r="F16" s="19" t="str">
        <f t="shared" si="0"/>
        <v xml:space="preserve">  </v>
      </c>
    </row>
    <row r="17" spans="2:6" hidden="1" x14ac:dyDescent="0.15">
      <c r="B17" s="29"/>
      <c r="C17" s="29"/>
      <c r="D17" s="29"/>
      <c r="E17" s="19">
        <v>17</v>
      </c>
      <c r="F17" s="19" t="str">
        <f t="shared" si="0"/>
        <v xml:space="preserve">  </v>
      </c>
    </row>
    <row r="18" spans="2:6" hidden="1" x14ac:dyDescent="0.15">
      <c r="B18" s="29"/>
      <c r="C18" s="29"/>
      <c r="D18" s="29"/>
      <c r="E18" s="19">
        <v>18</v>
      </c>
      <c r="F18" s="19" t="str">
        <f t="shared" si="0"/>
        <v xml:space="preserve">  </v>
      </c>
    </row>
    <row r="19" spans="2:6" hidden="1" x14ac:dyDescent="0.15">
      <c r="B19" s="29"/>
      <c r="C19" s="29"/>
      <c r="D19" s="29"/>
      <c r="E19" s="19">
        <v>19</v>
      </c>
      <c r="F19" s="19" t="str">
        <f t="shared" si="0"/>
        <v xml:space="preserve">  </v>
      </c>
    </row>
    <row r="20" spans="2:6" hidden="1" x14ac:dyDescent="0.15">
      <c r="B20" s="29"/>
      <c r="C20" s="29"/>
      <c r="D20" s="29"/>
      <c r="E20" s="19">
        <v>20</v>
      </c>
      <c r="F20" s="19" t="str">
        <f t="shared" si="0"/>
        <v xml:space="preserve">  </v>
      </c>
    </row>
    <row r="21" spans="2:6" hidden="1" x14ac:dyDescent="0.15">
      <c r="B21" s="29"/>
      <c r="C21" s="29"/>
      <c r="D21" s="29"/>
      <c r="E21" s="19">
        <v>21</v>
      </c>
      <c r="F21" s="19" t="str">
        <f t="shared" si="0"/>
        <v xml:space="preserve">  </v>
      </c>
    </row>
    <row r="22" spans="2:6" hidden="1" x14ac:dyDescent="0.15">
      <c r="B22" s="29"/>
      <c r="C22" s="29"/>
      <c r="D22" s="29"/>
      <c r="E22" s="19">
        <v>22</v>
      </c>
      <c r="F22" s="19" t="str">
        <f t="shared" si="0"/>
        <v xml:space="preserve">  </v>
      </c>
    </row>
    <row r="23" spans="2:6" hidden="1" x14ac:dyDescent="0.15">
      <c r="B23" s="29"/>
      <c r="C23" s="29"/>
      <c r="D23" s="29"/>
      <c r="E23" s="19">
        <v>23</v>
      </c>
      <c r="F23" s="19" t="str">
        <f t="shared" si="0"/>
        <v xml:space="preserve">  </v>
      </c>
    </row>
    <row r="24" spans="2:6" hidden="1" x14ac:dyDescent="0.15">
      <c r="B24" s="29"/>
      <c r="C24" s="29"/>
      <c r="D24" s="29"/>
      <c r="E24" s="19">
        <v>24</v>
      </c>
      <c r="F24" s="19" t="str">
        <f t="shared" si="0"/>
        <v xml:space="preserve">  </v>
      </c>
    </row>
    <row r="25" spans="2:6" hidden="1" x14ac:dyDescent="0.15">
      <c r="B25" s="29"/>
      <c r="C25" s="29"/>
      <c r="D25" s="29"/>
      <c r="E25" s="19">
        <v>25</v>
      </c>
      <c r="F25" s="19" t="str">
        <f t="shared" si="0"/>
        <v xml:space="preserve">  </v>
      </c>
    </row>
    <row r="26" spans="2:6" hidden="1" x14ac:dyDescent="0.15">
      <c r="B26" s="29"/>
      <c r="C26" s="29"/>
      <c r="D26" s="29"/>
      <c r="E26" s="19">
        <v>26</v>
      </c>
      <c r="F26" s="19" t="str">
        <f t="shared" si="0"/>
        <v xml:space="preserve">  </v>
      </c>
    </row>
    <row r="27" spans="2:6" hidden="1" x14ac:dyDescent="0.15">
      <c r="B27" s="29"/>
      <c r="C27" s="29"/>
      <c r="D27" s="29"/>
      <c r="E27" s="19">
        <v>27</v>
      </c>
      <c r="F27" s="19" t="str">
        <f t="shared" si="0"/>
        <v xml:space="preserve">  </v>
      </c>
    </row>
    <row r="28" spans="2:6" hidden="1" x14ac:dyDescent="0.15">
      <c r="B28" s="29"/>
      <c r="C28" s="29"/>
      <c r="D28" s="29"/>
      <c r="E28" s="19">
        <v>28</v>
      </c>
      <c r="F28" s="19" t="str">
        <f t="shared" si="0"/>
        <v xml:space="preserve">  </v>
      </c>
    </row>
    <row r="29" spans="2:6" hidden="1" x14ac:dyDescent="0.15">
      <c r="B29" s="29"/>
      <c r="C29" s="29"/>
      <c r="D29" s="29"/>
      <c r="E29" s="19">
        <v>29</v>
      </c>
      <c r="F29" s="19" t="str">
        <f t="shared" si="0"/>
        <v xml:space="preserve">  </v>
      </c>
    </row>
    <row r="30" spans="2:6" hidden="1" x14ac:dyDescent="0.15">
      <c r="B30" s="29"/>
      <c r="C30" s="29"/>
      <c r="D30" s="29"/>
      <c r="E30" s="19">
        <v>30</v>
      </c>
      <c r="F30" s="19" t="str">
        <f t="shared" si="0"/>
        <v xml:space="preserve">  </v>
      </c>
    </row>
    <row r="31" spans="2:6" hidden="1" x14ac:dyDescent="0.15">
      <c r="B31" s="29"/>
      <c r="C31" s="29"/>
      <c r="D31" s="29"/>
      <c r="E31" s="19">
        <v>31</v>
      </c>
      <c r="F31" s="19" t="str">
        <f t="shared" si="0"/>
        <v xml:space="preserve">  </v>
      </c>
    </row>
    <row r="32" spans="2:6" hidden="1" x14ac:dyDescent="0.15">
      <c r="B32" s="29"/>
      <c r="C32" s="29"/>
      <c r="D32" s="29"/>
      <c r="E32" s="19">
        <v>32</v>
      </c>
      <c r="F32" s="19" t="str">
        <f t="shared" si="0"/>
        <v xml:space="preserve">  </v>
      </c>
    </row>
    <row r="33" spans="2:6" hidden="1" x14ac:dyDescent="0.15">
      <c r="B33" s="29"/>
      <c r="C33" s="29"/>
      <c r="D33" s="29"/>
      <c r="E33" s="19">
        <v>33</v>
      </c>
      <c r="F33" s="19" t="str">
        <f t="shared" si="0"/>
        <v xml:space="preserve">  </v>
      </c>
    </row>
    <row r="34" spans="2:6" hidden="1" x14ac:dyDescent="0.15">
      <c r="B34" s="29"/>
      <c r="C34" s="29"/>
      <c r="D34" s="29"/>
      <c r="E34" s="19">
        <v>34</v>
      </c>
      <c r="F34" s="19" t="str">
        <f t="shared" si="0"/>
        <v xml:space="preserve">  </v>
      </c>
    </row>
    <row r="35" spans="2:6" hidden="1" x14ac:dyDescent="0.15">
      <c r="B35" s="29"/>
      <c r="C35" s="29"/>
      <c r="D35" s="29"/>
      <c r="E35" s="19">
        <v>35</v>
      </c>
      <c r="F35" s="19" t="str">
        <f t="shared" si="0"/>
        <v xml:space="preserve">  </v>
      </c>
    </row>
    <row r="36" spans="2:6" hidden="1" x14ac:dyDescent="0.15">
      <c r="B36" s="29"/>
      <c r="C36" s="29"/>
      <c r="D36" s="29"/>
      <c r="E36" s="19">
        <v>36</v>
      </c>
      <c r="F36" s="19" t="str">
        <f t="shared" si="0"/>
        <v xml:space="preserve">  </v>
      </c>
    </row>
    <row r="37" spans="2:6" hidden="1" x14ac:dyDescent="0.15">
      <c r="B37" s="29"/>
      <c r="C37" s="29"/>
      <c r="D37" s="29"/>
      <c r="E37" s="19">
        <v>37</v>
      </c>
      <c r="F37" s="19" t="str">
        <f t="shared" si="0"/>
        <v xml:space="preserve">  </v>
      </c>
    </row>
    <row r="38" spans="2:6" hidden="1" x14ac:dyDescent="0.15">
      <c r="B38" s="29"/>
      <c r="C38" s="29"/>
      <c r="D38" s="29"/>
      <c r="E38" s="19">
        <v>38</v>
      </c>
      <c r="F38" s="19" t="str">
        <f t="shared" si="0"/>
        <v xml:space="preserve">  </v>
      </c>
    </row>
    <row r="39" spans="2:6" hidden="1" x14ac:dyDescent="0.15">
      <c r="B39" s="29"/>
      <c r="C39" s="29"/>
      <c r="D39" s="29"/>
      <c r="E39" s="19">
        <v>39</v>
      </c>
      <c r="F39" s="19" t="str">
        <f t="shared" si="0"/>
        <v xml:space="preserve">  </v>
      </c>
    </row>
    <row r="40" spans="2:6" hidden="1" x14ac:dyDescent="0.15">
      <c r="B40" s="29"/>
      <c r="C40" s="29"/>
      <c r="D40" s="29"/>
      <c r="E40" s="19">
        <v>40</v>
      </c>
      <c r="F40" s="19" t="str">
        <f t="shared" si="0"/>
        <v xml:space="preserve">  </v>
      </c>
    </row>
    <row r="41" spans="2:6" hidden="1" x14ac:dyDescent="0.15">
      <c r="B41" s="29"/>
      <c r="C41" s="29"/>
      <c r="D41" s="29"/>
      <c r="E41" s="19">
        <v>41</v>
      </c>
      <c r="F41" s="19" t="str">
        <f t="shared" si="0"/>
        <v xml:space="preserve">  </v>
      </c>
    </row>
    <row r="42" spans="2:6" hidden="1" x14ac:dyDescent="0.15">
      <c r="B42" s="29"/>
      <c r="C42" s="29"/>
      <c r="D42" s="29"/>
      <c r="E42" s="19">
        <v>42</v>
      </c>
      <c r="F42" s="19" t="str">
        <f t="shared" si="0"/>
        <v xml:space="preserve">  </v>
      </c>
    </row>
    <row r="43" spans="2:6" hidden="1" x14ac:dyDescent="0.15">
      <c r="B43" s="29"/>
      <c r="C43" s="29"/>
      <c r="D43" s="29"/>
      <c r="E43" s="19">
        <v>43</v>
      </c>
      <c r="F43" s="19" t="str">
        <f t="shared" si="0"/>
        <v xml:space="preserve">  </v>
      </c>
    </row>
    <row r="44" spans="2:6" hidden="1" x14ac:dyDescent="0.15">
      <c r="B44" s="29"/>
      <c r="C44" s="29"/>
      <c r="D44" s="29"/>
      <c r="E44" s="19">
        <v>44</v>
      </c>
      <c r="F44" s="19" t="str">
        <f t="shared" si="0"/>
        <v xml:space="preserve">  </v>
      </c>
    </row>
    <row r="45" spans="2:6" hidden="1" x14ac:dyDescent="0.15">
      <c r="B45" s="29"/>
      <c r="C45" s="29"/>
      <c r="D45" s="29"/>
      <c r="E45" s="19">
        <v>45</v>
      </c>
      <c r="F45" s="19" t="str">
        <f t="shared" si="0"/>
        <v xml:space="preserve">  </v>
      </c>
    </row>
    <row r="46" spans="2:6" hidden="1" x14ac:dyDescent="0.15">
      <c r="B46" s="29"/>
      <c r="C46" s="29"/>
      <c r="D46" s="29"/>
      <c r="E46" s="19">
        <v>46</v>
      </c>
      <c r="F46" s="19" t="str">
        <f t="shared" si="0"/>
        <v xml:space="preserve">  </v>
      </c>
    </row>
    <row r="47" spans="2:6" hidden="1" x14ac:dyDescent="0.15">
      <c r="B47" s="29"/>
      <c r="C47" s="29"/>
      <c r="D47" s="29"/>
      <c r="E47" s="19">
        <v>47</v>
      </c>
      <c r="F47" s="19" t="str">
        <f t="shared" si="0"/>
        <v xml:space="preserve">  </v>
      </c>
    </row>
    <row r="48" spans="2:6" hidden="1" x14ac:dyDescent="0.15">
      <c r="B48" s="29"/>
      <c r="C48" s="29"/>
      <c r="D48" s="29"/>
      <c r="E48" s="19">
        <v>48</v>
      </c>
      <c r="F48" s="19" t="str">
        <f t="shared" si="0"/>
        <v xml:space="preserve">  </v>
      </c>
    </row>
    <row r="49" spans="2:6" hidden="1" x14ac:dyDescent="0.15">
      <c r="B49" s="29"/>
      <c r="C49" s="29"/>
      <c r="D49" s="29"/>
      <c r="E49" s="19">
        <v>49</v>
      </c>
      <c r="F49" s="19" t="str">
        <f t="shared" si="0"/>
        <v xml:space="preserve">  </v>
      </c>
    </row>
    <row r="50" spans="2:6" hidden="1" x14ac:dyDescent="0.15">
      <c r="B50" s="29"/>
      <c r="C50" s="29"/>
      <c r="D50" s="29"/>
      <c r="E50" s="19">
        <v>50</v>
      </c>
      <c r="F50" s="19" t="str">
        <f t="shared" si="0"/>
        <v xml:space="preserve">  </v>
      </c>
    </row>
  </sheetData>
  <sheetProtection formatCells="0" formatColumns="0" formatRows="0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AE36"/>
  <sheetViews>
    <sheetView view="pageBreakPreview" zoomScale="80" zoomScaleNormal="100" zoomScaleSheetLayoutView="80" workbookViewId="0">
      <selection activeCell="AC4" sqref="AC4"/>
    </sheetView>
  </sheetViews>
  <sheetFormatPr defaultColWidth="9.14453125" defaultRowHeight="13.5" x14ac:dyDescent="0.15"/>
  <cols>
    <col min="1" max="1" width="4.5703125" style="1" customWidth="1"/>
    <col min="2" max="2" width="1.4765625" style="1" customWidth="1"/>
    <col min="3" max="6" width="3.09375" style="1" customWidth="1"/>
    <col min="7" max="7" width="1.4765625" style="1" customWidth="1"/>
    <col min="8" max="8" width="3.09375" style="1" customWidth="1"/>
    <col min="9" max="9" width="4.5703125" style="1" customWidth="1"/>
    <col min="10" max="11" width="3.09375" style="1" customWidth="1"/>
    <col min="12" max="12" width="2.5546875" style="1" customWidth="1"/>
    <col min="13" max="13" width="2.82421875" style="1" customWidth="1"/>
    <col min="14" max="15" width="3.09375" style="1" customWidth="1"/>
    <col min="16" max="18" width="2.41796875" style="1" customWidth="1"/>
    <col min="19" max="20" width="3.09375" style="1" customWidth="1"/>
    <col min="21" max="25" width="2.41796875" style="1" customWidth="1"/>
    <col min="26" max="28" width="4.16796875" style="1" customWidth="1"/>
    <col min="29" max="29" width="3.359375" style="1" customWidth="1"/>
    <col min="30" max="30" width="3.2265625" style="1" customWidth="1"/>
    <col min="31" max="31" width="2.41796875" style="1" customWidth="1"/>
    <col min="32" max="34" width="3.09375" style="1" customWidth="1"/>
    <col min="35" max="16384" width="9.14453125" style="1"/>
  </cols>
  <sheetData>
    <row r="1" spans="1:31" ht="28.35" customHeight="1" x14ac:dyDescent="0.15"/>
    <row r="2" spans="1:31" ht="38.25" customHeight="1" x14ac:dyDescent="0.2">
      <c r="B2" s="15"/>
      <c r="C2" s="102" t="s">
        <v>86</v>
      </c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5"/>
      <c r="AD2" s="15"/>
      <c r="AE2" s="15"/>
    </row>
    <row r="3" spans="1:31" ht="45.6" customHeight="1" x14ac:dyDescent="0.15">
      <c r="A3" s="96" t="s">
        <v>3</v>
      </c>
      <c r="B3" s="96"/>
      <c r="C3" s="96"/>
      <c r="D3" s="96"/>
      <c r="E3" s="96"/>
      <c r="F3" s="96"/>
      <c r="G3" s="96"/>
      <c r="H3" s="96"/>
      <c r="I3" s="96"/>
      <c r="J3" s="97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6"/>
    </row>
    <row r="4" spans="1:31" ht="23.25" customHeight="1" x14ac:dyDescent="0.15">
      <c r="A4" s="96" t="s">
        <v>6</v>
      </c>
      <c r="B4" s="96"/>
      <c r="C4" s="96"/>
      <c r="D4" s="96"/>
      <c r="E4" s="96"/>
      <c r="F4" s="96"/>
      <c r="G4" s="96"/>
      <c r="H4" s="96"/>
      <c r="I4" s="96"/>
      <c r="J4" s="7" t="str">
        <f>CONCATENATE(Чемп!B4," ",Чемп!C4)</f>
        <v>№ (заполнить) Название (заполнить)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</row>
    <row r="5" spans="1:31" ht="21.75" customHeight="1" x14ac:dyDescent="0.15">
      <c r="A5" s="96" t="s">
        <v>106</v>
      </c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7" t="str">
        <f>CONCATENATE(Experts!B1," ",Experts!C1," ",Experts!D1)</f>
        <v>Фамилия Имя Отчество</v>
      </c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</row>
    <row r="6" spans="1:31" ht="11.25" customHeight="1" x14ac:dyDescent="0.15"/>
    <row r="7" spans="1:31" s="50" customFormat="1" ht="31.5" customHeight="1" x14ac:dyDescent="0.15">
      <c r="A7" s="98" t="s">
        <v>9</v>
      </c>
      <c r="B7" s="98"/>
      <c r="C7" s="99" t="s">
        <v>11</v>
      </c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100" t="s">
        <v>28</v>
      </c>
      <c r="Q7" s="100"/>
      <c r="R7" s="100"/>
      <c r="S7" s="100"/>
      <c r="T7" s="100"/>
      <c r="U7" s="100"/>
      <c r="V7" s="100"/>
      <c r="W7" s="100"/>
      <c r="X7" s="100"/>
      <c r="Y7" s="100"/>
      <c r="Z7" s="99" t="s">
        <v>12</v>
      </c>
      <c r="AA7" s="99"/>
      <c r="AB7" s="99"/>
      <c r="AC7" s="99"/>
      <c r="AD7" s="99"/>
    </row>
    <row r="8" spans="1:31" s="50" customFormat="1" ht="30.75" customHeight="1" x14ac:dyDescent="0.15">
      <c r="A8" s="73">
        <v>1</v>
      </c>
      <c r="B8" s="74" t="s">
        <v>13</v>
      </c>
      <c r="C8" s="90" t="str">
        <f>Experts!F1</f>
        <v>Фамилия Имя Отчество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2"/>
      <c r="P8" s="93"/>
      <c r="Q8" s="94"/>
      <c r="R8" s="94"/>
      <c r="S8" s="94"/>
      <c r="T8" s="94"/>
      <c r="U8" s="94"/>
      <c r="V8" s="94"/>
      <c r="W8" s="94"/>
      <c r="X8" s="94"/>
      <c r="Y8" s="95"/>
      <c r="Z8" s="93"/>
      <c r="AA8" s="94"/>
      <c r="AB8" s="94"/>
      <c r="AC8" s="94"/>
      <c r="AD8" s="95"/>
    </row>
    <row r="9" spans="1:31" s="50" customFormat="1" ht="30.75" customHeight="1" x14ac:dyDescent="0.15">
      <c r="A9" s="73">
        <v>2</v>
      </c>
      <c r="B9" s="74" t="s">
        <v>13</v>
      </c>
      <c r="C9" s="90" t="str">
        <f>Experts!F2</f>
        <v>Фамилия Имя Отчество</v>
      </c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2"/>
      <c r="P9" s="93"/>
      <c r="Q9" s="94"/>
      <c r="R9" s="94"/>
      <c r="S9" s="94"/>
      <c r="T9" s="94"/>
      <c r="U9" s="94"/>
      <c r="V9" s="94"/>
      <c r="W9" s="94"/>
      <c r="X9" s="94"/>
      <c r="Y9" s="95"/>
      <c r="Z9" s="93"/>
      <c r="AA9" s="94"/>
      <c r="AB9" s="94"/>
      <c r="AC9" s="94"/>
      <c r="AD9" s="95"/>
    </row>
    <row r="10" spans="1:31" s="50" customFormat="1" ht="30.75" customHeight="1" x14ac:dyDescent="0.15">
      <c r="A10" s="73">
        <v>3</v>
      </c>
      <c r="B10" s="74" t="s">
        <v>13</v>
      </c>
      <c r="C10" s="90" t="str">
        <f>Experts!F3</f>
        <v>Фамилия Имя Отчество</v>
      </c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2"/>
      <c r="P10" s="93"/>
      <c r="Q10" s="94"/>
      <c r="R10" s="94"/>
      <c r="S10" s="94"/>
      <c r="T10" s="94"/>
      <c r="U10" s="94"/>
      <c r="V10" s="94"/>
      <c r="W10" s="94"/>
      <c r="X10" s="94"/>
      <c r="Y10" s="95"/>
      <c r="Z10" s="93"/>
      <c r="AA10" s="94"/>
      <c r="AB10" s="94"/>
      <c r="AC10" s="94"/>
      <c r="AD10" s="95"/>
    </row>
    <row r="11" spans="1:31" s="50" customFormat="1" ht="30.75" customHeight="1" x14ac:dyDescent="0.15">
      <c r="A11" s="73">
        <v>4</v>
      </c>
      <c r="B11" s="74" t="s">
        <v>13</v>
      </c>
      <c r="C11" s="90" t="str">
        <f>Experts!F4</f>
        <v>Фамилия Имя Отчество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2"/>
      <c r="P11" s="93"/>
      <c r="Q11" s="94"/>
      <c r="R11" s="94"/>
      <c r="S11" s="94"/>
      <c r="T11" s="94"/>
      <c r="U11" s="94"/>
      <c r="V11" s="94"/>
      <c r="W11" s="94"/>
      <c r="X11" s="94"/>
      <c r="Y11" s="95"/>
      <c r="Z11" s="93"/>
      <c r="AA11" s="94"/>
      <c r="AB11" s="94"/>
      <c r="AC11" s="94"/>
      <c r="AD11" s="95"/>
    </row>
    <row r="12" spans="1:31" s="50" customFormat="1" ht="30.75" customHeight="1" x14ac:dyDescent="0.15">
      <c r="A12" s="73">
        <v>5</v>
      </c>
      <c r="B12" s="74" t="s">
        <v>13</v>
      </c>
      <c r="C12" s="90" t="str">
        <f>Experts!F5</f>
        <v>Фамилия Имя Отчество</v>
      </c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2"/>
      <c r="P12" s="93"/>
      <c r="Q12" s="94"/>
      <c r="R12" s="94"/>
      <c r="S12" s="94"/>
      <c r="T12" s="94"/>
      <c r="U12" s="94"/>
      <c r="V12" s="94"/>
      <c r="W12" s="94"/>
      <c r="X12" s="94"/>
      <c r="Y12" s="95"/>
      <c r="Z12" s="93"/>
      <c r="AA12" s="94"/>
      <c r="AB12" s="94"/>
      <c r="AC12" s="94"/>
      <c r="AD12" s="95"/>
    </row>
    <row r="13" spans="1:31" s="50" customFormat="1" ht="30.75" customHeight="1" x14ac:dyDescent="0.15">
      <c r="A13" s="73">
        <v>6</v>
      </c>
      <c r="B13" s="74" t="s">
        <v>13</v>
      </c>
      <c r="C13" s="90" t="str">
        <f>Experts!F6</f>
        <v>Фамилия Имя Отчество</v>
      </c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2"/>
      <c r="P13" s="93"/>
      <c r="Q13" s="94"/>
      <c r="R13" s="94"/>
      <c r="S13" s="94"/>
      <c r="T13" s="94"/>
      <c r="U13" s="94"/>
      <c r="V13" s="94"/>
      <c r="W13" s="94"/>
      <c r="X13" s="94"/>
      <c r="Y13" s="95"/>
      <c r="Z13" s="93"/>
      <c r="AA13" s="94"/>
      <c r="AB13" s="94"/>
      <c r="AC13" s="94"/>
      <c r="AD13" s="95"/>
    </row>
    <row r="14" spans="1:31" s="50" customFormat="1" ht="30.75" customHeight="1" x14ac:dyDescent="0.15">
      <c r="A14" s="73">
        <v>7</v>
      </c>
      <c r="B14" s="74" t="s">
        <v>13</v>
      </c>
      <c r="C14" s="90" t="str">
        <f>Experts!F7</f>
        <v>Фамилия Имя Отчество</v>
      </c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2"/>
      <c r="P14" s="93"/>
      <c r="Q14" s="94"/>
      <c r="R14" s="94"/>
      <c r="S14" s="94"/>
      <c r="T14" s="94"/>
      <c r="U14" s="94"/>
      <c r="V14" s="94"/>
      <c r="W14" s="94"/>
      <c r="X14" s="94"/>
      <c r="Y14" s="95"/>
      <c r="Z14" s="93"/>
      <c r="AA14" s="94"/>
      <c r="AB14" s="94"/>
      <c r="AC14" s="94"/>
      <c r="AD14" s="95"/>
    </row>
    <row r="15" spans="1:31" s="50" customFormat="1" ht="30.75" customHeight="1" x14ac:dyDescent="0.15">
      <c r="A15" s="73">
        <v>8</v>
      </c>
      <c r="B15" s="74" t="s">
        <v>13</v>
      </c>
      <c r="C15" s="90" t="str">
        <f>Experts!F8</f>
        <v>Фамилия Имя Отчество</v>
      </c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2"/>
      <c r="P15" s="93"/>
      <c r="Q15" s="94"/>
      <c r="R15" s="94"/>
      <c r="S15" s="94"/>
      <c r="T15" s="94"/>
      <c r="U15" s="94"/>
      <c r="V15" s="94"/>
      <c r="W15" s="94"/>
      <c r="X15" s="94"/>
      <c r="Y15" s="95"/>
      <c r="Z15" s="93"/>
      <c r="AA15" s="94"/>
      <c r="AB15" s="94"/>
      <c r="AC15" s="94"/>
      <c r="AD15" s="95"/>
    </row>
    <row r="16" spans="1:31" s="50" customFormat="1" ht="30.75" customHeight="1" x14ac:dyDescent="0.15">
      <c r="A16" s="73">
        <v>9</v>
      </c>
      <c r="B16" s="74" t="s">
        <v>13</v>
      </c>
      <c r="C16" s="90" t="str">
        <f>Experts!F9</f>
        <v>Фамилия Имя Отчество</v>
      </c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2"/>
      <c r="P16" s="93"/>
      <c r="Q16" s="94"/>
      <c r="R16" s="94"/>
      <c r="S16" s="94"/>
      <c r="T16" s="94"/>
      <c r="U16" s="94"/>
      <c r="V16" s="94"/>
      <c r="W16" s="94"/>
      <c r="X16" s="94"/>
      <c r="Y16" s="95"/>
      <c r="Z16" s="93"/>
      <c r="AA16" s="94"/>
      <c r="AB16" s="94"/>
      <c r="AC16" s="94"/>
      <c r="AD16" s="95"/>
    </row>
    <row r="17" spans="1:30" s="50" customFormat="1" ht="30.75" customHeight="1" x14ac:dyDescent="0.15">
      <c r="A17" s="73">
        <v>10</v>
      </c>
      <c r="B17" s="74" t="s">
        <v>13</v>
      </c>
      <c r="C17" s="90" t="str">
        <f>Experts!F10</f>
        <v>Фамилия Имя Отчество</v>
      </c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2"/>
      <c r="P17" s="93"/>
      <c r="Q17" s="94"/>
      <c r="R17" s="94"/>
      <c r="S17" s="94"/>
      <c r="T17" s="94"/>
      <c r="U17" s="94"/>
      <c r="V17" s="94"/>
      <c r="W17" s="94"/>
      <c r="X17" s="94"/>
      <c r="Y17" s="95"/>
      <c r="Z17" s="93"/>
      <c r="AA17" s="94"/>
      <c r="AB17" s="94"/>
      <c r="AC17" s="94"/>
      <c r="AD17" s="95"/>
    </row>
    <row r="18" spans="1:30" s="50" customFormat="1" ht="30.75" customHeight="1" x14ac:dyDescent="0.15">
      <c r="A18" s="73">
        <v>11</v>
      </c>
      <c r="B18" s="74" t="s">
        <v>13</v>
      </c>
      <c r="C18" s="90" t="str">
        <f>Experts!F11</f>
        <v xml:space="preserve">  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2"/>
      <c r="P18" s="93"/>
      <c r="Q18" s="94"/>
      <c r="R18" s="94"/>
      <c r="S18" s="94"/>
      <c r="T18" s="94"/>
      <c r="U18" s="94"/>
      <c r="V18" s="94"/>
      <c r="W18" s="94"/>
      <c r="X18" s="94"/>
      <c r="Y18" s="95"/>
      <c r="Z18" s="93"/>
      <c r="AA18" s="94"/>
      <c r="AB18" s="94"/>
      <c r="AC18" s="94"/>
      <c r="AD18" s="95"/>
    </row>
    <row r="19" spans="1:30" s="50" customFormat="1" ht="30.75" customHeight="1" x14ac:dyDescent="0.15">
      <c r="A19" s="73">
        <v>12</v>
      </c>
      <c r="B19" s="74" t="s">
        <v>13</v>
      </c>
      <c r="C19" s="90" t="str">
        <f>Experts!F12</f>
        <v xml:space="preserve">  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2"/>
      <c r="P19" s="93"/>
      <c r="Q19" s="94"/>
      <c r="R19" s="94"/>
      <c r="S19" s="94"/>
      <c r="T19" s="94"/>
      <c r="U19" s="94"/>
      <c r="V19" s="94"/>
      <c r="W19" s="94"/>
      <c r="X19" s="94"/>
      <c r="Y19" s="95"/>
      <c r="Z19" s="93"/>
      <c r="AA19" s="94"/>
      <c r="AB19" s="94"/>
      <c r="AC19" s="94"/>
      <c r="AD19" s="95"/>
    </row>
    <row r="20" spans="1:30" s="50" customFormat="1" ht="30.75" customHeight="1" x14ac:dyDescent="0.15">
      <c r="A20" s="73">
        <v>13</v>
      </c>
      <c r="B20" s="74" t="s">
        <v>13</v>
      </c>
      <c r="C20" s="90" t="str">
        <f>Experts!F13</f>
        <v xml:space="preserve">  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2"/>
      <c r="P20" s="93"/>
      <c r="Q20" s="94"/>
      <c r="R20" s="94"/>
      <c r="S20" s="94"/>
      <c r="T20" s="94"/>
      <c r="U20" s="94"/>
      <c r="V20" s="94"/>
      <c r="W20" s="94"/>
      <c r="X20" s="94"/>
      <c r="Y20" s="95"/>
      <c r="Z20" s="93"/>
      <c r="AA20" s="94"/>
      <c r="AB20" s="94"/>
      <c r="AC20" s="94"/>
      <c r="AD20" s="95"/>
    </row>
    <row r="21" spans="1:30" s="50" customFormat="1" ht="30.75" customHeight="1" x14ac:dyDescent="0.15">
      <c r="A21" s="73">
        <v>14</v>
      </c>
      <c r="B21" s="74" t="s">
        <v>13</v>
      </c>
      <c r="C21" s="90" t="str">
        <f>Experts!F14</f>
        <v xml:space="preserve">  </v>
      </c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2"/>
      <c r="P21" s="93"/>
      <c r="Q21" s="94"/>
      <c r="R21" s="94"/>
      <c r="S21" s="94"/>
      <c r="T21" s="94"/>
      <c r="U21" s="94"/>
      <c r="V21" s="94"/>
      <c r="W21" s="94"/>
      <c r="X21" s="94"/>
      <c r="Y21" s="95"/>
      <c r="Z21" s="93"/>
      <c r="AA21" s="94"/>
      <c r="AB21" s="94"/>
      <c r="AC21" s="94"/>
      <c r="AD21" s="95"/>
    </row>
    <row r="22" spans="1:30" s="50" customFormat="1" ht="30.75" customHeight="1" x14ac:dyDescent="0.15">
      <c r="A22" s="73">
        <v>15</v>
      </c>
      <c r="B22" s="74" t="s">
        <v>13</v>
      </c>
      <c r="C22" s="90" t="str">
        <f>Experts!F15</f>
        <v xml:space="preserve">  </v>
      </c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2"/>
      <c r="P22" s="93"/>
      <c r="Q22" s="94"/>
      <c r="R22" s="94"/>
      <c r="S22" s="94"/>
      <c r="T22" s="94"/>
      <c r="U22" s="94"/>
      <c r="V22" s="94"/>
      <c r="W22" s="94"/>
      <c r="X22" s="94"/>
      <c r="Y22" s="95"/>
      <c r="Z22" s="93"/>
      <c r="AA22" s="94"/>
      <c r="AB22" s="94"/>
      <c r="AC22" s="94"/>
      <c r="AD22" s="95"/>
    </row>
    <row r="23" spans="1:30" s="50" customFormat="1" ht="30.75" customHeight="1" x14ac:dyDescent="0.15">
      <c r="A23" s="73">
        <v>16</v>
      </c>
      <c r="B23" s="74" t="s">
        <v>13</v>
      </c>
      <c r="C23" s="90" t="str">
        <f>Experts!F16</f>
        <v xml:space="preserve">  </v>
      </c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2"/>
      <c r="P23" s="93"/>
      <c r="Q23" s="94"/>
      <c r="R23" s="94"/>
      <c r="S23" s="94"/>
      <c r="T23" s="94"/>
      <c r="U23" s="94"/>
      <c r="V23" s="94"/>
      <c r="W23" s="94"/>
      <c r="X23" s="94"/>
      <c r="Y23" s="95"/>
      <c r="Z23" s="93"/>
      <c r="AA23" s="94"/>
      <c r="AB23" s="94"/>
      <c r="AC23" s="94"/>
      <c r="AD23" s="95"/>
    </row>
    <row r="24" spans="1:30" s="50" customFormat="1" ht="30.75" customHeight="1" x14ac:dyDescent="0.15">
      <c r="A24" s="73">
        <v>17</v>
      </c>
      <c r="B24" s="74" t="s">
        <v>13</v>
      </c>
      <c r="C24" s="90" t="str">
        <f>Experts!F17</f>
        <v xml:space="preserve">  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2"/>
      <c r="P24" s="93"/>
      <c r="Q24" s="94"/>
      <c r="R24" s="94"/>
      <c r="S24" s="94"/>
      <c r="T24" s="94"/>
      <c r="U24" s="94"/>
      <c r="V24" s="94"/>
      <c r="W24" s="94"/>
      <c r="X24" s="94"/>
      <c r="Y24" s="95"/>
      <c r="Z24" s="93"/>
      <c r="AA24" s="94"/>
      <c r="AB24" s="94"/>
      <c r="AC24" s="94"/>
      <c r="AD24" s="95"/>
    </row>
    <row r="25" spans="1:30" s="50" customFormat="1" ht="30.75" customHeight="1" x14ac:dyDescent="0.15">
      <c r="A25" s="73">
        <v>18</v>
      </c>
      <c r="B25" s="74" t="s">
        <v>13</v>
      </c>
      <c r="C25" s="90" t="str">
        <f>Experts!F18</f>
        <v xml:space="preserve">  </v>
      </c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2"/>
      <c r="P25" s="93"/>
      <c r="Q25" s="94"/>
      <c r="R25" s="94"/>
      <c r="S25" s="94"/>
      <c r="T25" s="94"/>
      <c r="U25" s="94"/>
      <c r="V25" s="94"/>
      <c r="W25" s="94"/>
      <c r="X25" s="94"/>
      <c r="Y25" s="95"/>
      <c r="Z25" s="93"/>
      <c r="AA25" s="94"/>
      <c r="AB25" s="94"/>
      <c r="AC25" s="94"/>
      <c r="AD25" s="95"/>
    </row>
    <row r="26" spans="1:30" s="50" customFormat="1" ht="30.75" customHeight="1" x14ac:dyDescent="0.15">
      <c r="A26" s="73">
        <v>19</v>
      </c>
      <c r="B26" s="74" t="s">
        <v>13</v>
      </c>
      <c r="C26" s="90" t="str">
        <f>Experts!F19</f>
        <v xml:space="preserve">  </v>
      </c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2"/>
      <c r="P26" s="93"/>
      <c r="Q26" s="94"/>
      <c r="R26" s="94"/>
      <c r="S26" s="94"/>
      <c r="T26" s="94"/>
      <c r="U26" s="94"/>
      <c r="V26" s="94"/>
      <c r="W26" s="94"/>
      <c r="X26" s="94"/>
      <c r="Y26" s="95"/>
      <c r="Z26" s="93"/>
      <c r="AA26" s="94"/>
      <c r="AB26" s="94"/>
      <c r="AC26" s="94"/>
      <c r="AD26" s="95"/>
    </row>
    <row r="27" spans="1:30" s="50" customFormat="1" ht="30.75" customHeight="1" x14ac:dyDescent="0.15">
      <c r="A27" s="73">
        <v>20</v>
      </c>
      <c r="B27" s="74" t="s">
        <v>13</v>
      </c>
      <c r="C27" s="90" t="str">
        <f>Experts!F20</f>
        <v xml:space="preserve">  </v>
      </c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2"/>
      <c r="P27" s="93"/>
      <c r="Q27" s="94"/>
      <c r="R27" s="94"/>
      <c r="S27" s="94"/>
      <c r="T27" s="94"/>
      <c r="U27" s="94"/>
      <c r="V27" s="94"/>
      <c r="W27" s="94"/>
      <c r="X27" s="94"/>
      <c r="Y27" s="95"/>
      <c r="Z27" s="93"/>
      <c r="AA27" s="94"/>
      <c r="AB27" s="94"/>
      <c r="AC27" s="94"/>
      <c r="AD27" s="95"/>
    </row>
    <row r="28" spans="1:30" s="50" customFormat="1" ht="30.75" customHeight="1" x14ac:dyDescent="0.15">
      <c r="A28" s="73">
        <v>21</v>
      </c>
      <c r="B28" s="74" t="s">
        <v>13</v>
      </c>
      <c r="C28" s="90" t="str">
        <f>Experts!F21</f>
        <v xml:space="preserve">  </v>
      </c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2"/>
      <c r="P28" s="93"/>
      <c r="Q28" s="94"/>
      <c r="R28" s="94"/>
      <c r="S28" s="94"/>
      <c r="T28" s="94"/>
      <c r="U28" s="94"/>
      <c r="V28" s="94"/>
      <c r="W28" s="94"/>
      <c r="X28" s="94"/>
      <c r="Y28" s="95"/>
      <c r="Z28" s="93"/>
      <c r="AA28" s="94"/>
      <c r="AB28" s="94"/>
      <c r="AC28" s="94"/>
      <c r="AD28" s="95"/>
    </row>
    <row r="29" spans="1:30" s="50" customFormat="1" ht="30.75" customHeight="1" x14ac:dyDescent="0.15">
      <c r="A29" s="73">
        <v>22</v>
      </c>
      <c r="B29" s="74" t="s">
        <v>13</v>
      </c>
      <c r="C29" s="90" t="str">
        <f>Experts!F22</f>
        <v xml:space="preserve">  </v>
      </c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2"/>
      <c r="P29" s="93"/>
      <c r="Q29" s="94"/>
      <c r="R29" s="94"/>
      <c r="S29" s="94"/>
      <c r="T29" s="94"/>
      <c r="U29" s="94"/>
      <c r="V29" s="94"/>
      <c r="W29" s="94"/>
      <c r="X29" s="94"/>
      <c r="Y29" s="95"/>
      <c r="Z29" s="93"/>
      <c r="AA29" s="94"/>
      <c r="AB29" s="94"/>
      <c r="AC29" s="94"/>
      <c r="AD29" s="95"/>
    </row>
    <row r="30" spans="1:30" s="50" customFormat="1" ht="30.75" customHeight="1" x14ac:dyDescent="0.15">
      <c r="A30" s="73">
        <v>23</v>
      </c>
      <c r="B30" s="74" t="s">
        <v>13</v>
      </c>
      <c r="C30" s="90" t="str">
        <f>Experts!F23</f>
        <v xml:space="preserve">  </v>
      </c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2"/>
      <c r="P30" s="93"/>
      <c r="Q30" s="94"/>
      <c r="R30" s="94"/>
      <c r="S30" s="94"/>
      <c r="T30" s="94"/>
      <c r="U30" s="94"/>
      <c r="V30" s="94"/>
      <c r="W30" s="94"/>
      <c r="X30" s="94"/>
      <c r="Y30" s="95"/>
      <c r="Z30" s="93"/>
      <c r="AA30" s="94"/>
      <c r="AB30" s="94"/>
      <c r="AC30" s="94"/>
      <c r="AD30" s="95"/>
    </row>
    <row r="31" spans="1:30" s="50" customFormat="1" ht="30.75" customHeight="1" x14ac:dyDescent="0.15">
      <c r="A31" s="73">
        <v>24</v>
      </c>
      <c r="B31" s="74" t="s">
        <v>13</v>
      </c>
      <c r="C31" s="90" t="str">
        <f>Experts!F24</f>
        <v xml:space="preserve">  </v>
      </c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2"/>
      <c r="P31" s="93"/>
      <c r="Q31" s="94"/>
      <c r="R31" s="94"/>
      <c r="S31" s="94"/>
      <c r="T31" s="94"/>
      <c r="U31" s="94"/>
      <c r="V31" s="94"/>
      <c r="W31" s="94"/>
      <c r="X31" s="94"/>
      <c r="Y31" s="95"/>
      <c r="Z31" s="93"/>
      <c r="AA31" s="94"/>
      <c r="AB31" s="94"/>
      <c r="AC31" s="94"/>
      <c r="AD31" s="95"/>
    </row>
    <row r="32" spans="1:30" s="50" customFormat="1" ht="30.75" customHeight="1" x14ac:dyDescent="0.15">
      <c r="A32" s="73">
        <v>25</v>
      </c>
      <c r="B32" s="74" t="s">
        <v>13</v>
      </c>
      <c r="C32" s="90" t="str">
        <f>Experts!F25</f>
        <v xml:space="preserve">  </v>
      </c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2"/>
      <c r="P32" s="93"/>
      <c r="Q32" s="94"/>
      <c r="R32" s="94"/>
      <c r="S32" s="94"/>
      <c r="T32" s="94"/>
      <c r="U32" s="94"/>
      <c r="V32" s="94"/>
      <c r="W32" s="94"/>
      <c r="X32" s="94"/>
      <c r="Y32" s="95"/>
      <c r="Z32" s="93"/>
      <c r="AA32" s="94"/>
      <c r="AB32" s="94"/>
      <c r="AC32" s="94"/>
      <c r="AD32" s="95"/>
    </row>
    <row r="33" spans="1:30" s="50" customFormat="1" ht="30.75" customHeight="1" x14ac:dyDescent="0.15">
      <c r="A33" s="75"/>
      <c r="B33" s="75"/>
      <c r="C33" s="76"/>
      <c r="D33" s="76"/>
      <c r="E33" s="77"/>
      <c r="F33" s="77"/>
      <c r="G33" s="76"/>
      <c r="H33" s="77"/>
      <c r="I33" s="77"/>
      <c r="J33" s="77"/>
      <c r="K33" s="77"/>
      <c r="L33" s="76"/>
      <c r="M33" s="77"/>
      <c r="N33" s="77"/>
      <c r="O33" s="77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</row>
    <row r="34" spans="1:30" s="50" customFormat="1" ht="14.25" x14ac:dyDescent="0.15">
      <c r="A34" s="104" t="s">
        <v>14</v>
      </c>
      <c r="B34" s="104"/>
      <c r="C34" s="104"/>
      <c r="D34" s="104"/>
      <c r="E34" s="103">
        <f>Чемп!B6</f>
        <v>44431</v>
      </c>
      <c r="F34" s="103"/>
      <c r="G34" s="103"/>
      <c r="H34" s="103"/>
      <c r="I34" s="103"/>
      <c r="J34" s="103"/>
      <c r="K34" s="103"/>
      <c r="L34" s="57"/>
      <c r="M34" s="57"/>
      <c r="N34" s="57"/>
      <c r="O34" s="57"/>
      <c r="P34" s="53"/>
      <c r="R34" s="105" t="s">
        <v>107</v>
      </c>
      <c r="S34" s="105"/>
      <c r="T34" s="105"/>
      <c r="U34" s="105"/>
      <c r="V34" s="105"/>
      <c r="W34" s="105"/>
      <c r="X34" s="105"/>
      <c r="Y34" s="106"/>
      <c r="Z34" s="106"/>
      <c r="AA34" s="106"/>
      <c r="AB34" s="106"/>
      <c r="AC34" s="106"/>
      <c r="AD34" s="106"/>
    </row>
    <row r="35" spans="1:30" s="50" customFormat="1" ht="14.25" x14ac:dyDescent="0.15">
      <c r="Y35" s="101" t="s">
        <v>16</v>
      </c>
      <c r="Z35" s="101"/>
      <c r="AA35" s="101"/>
      <c r="AB35" s="101"/>
      <c r="AC35" s="101"/>
      <c r="AD35" s="101"/>
    </row>
    <row r="36" spans="1:30" s="50" customFormat="1" ht="14.25" x14ac:dyDescent="0.15"/>
  </sheetData>
  <sheetProtection formatCells="0" formatColumns="0" formatRows="0"/>
  <mergeCells count="89">
    <mergeCell ref="Y35:AD35"/>
    <mergeCell ref="C2:AB2"/>
    <mergeCell ref="E34:K34"/>
    <mergeCell ref="A34:D34"/>
    <mergeCell ref="R34:X34"/>
    <mergeCell ref="Y34:AD34"/>
    <mergeCell ref="C31:O31"/>
    <mergeCell ref="P31:Y31"/>
    <mergeCell ref="Z31:AD31"/>
    <mergeCell ref="C32:O32"/>
    <mergeCell ref="P32:Y32"/>
    <mergeCell ref="Z32:AD32"/>
    <mergeCell ref="C29:O29"/>
    <mergeCell ref="P29:Y29"/>
    <mergeCell ref="Z29:AD29"/>
    <mergeCell ref="C30:O30"/>
    <mergeCell ref="P30:Y30"/>
    <mergeCell ref="Z30:AD30"/>
    <mergeCell ref="C27:O27"/>
    <mergeCell ref="P27:Y27"/>
    <mergeCell ref="Z27:AD27"/>
    <mergeCell ref="C28:O28"/>
    <mergeCell ref="P28:Y28"/>
    <mergeCell ref="Z28:AD28"/>
    <mergeCell ref="P24:Y24"/>
    <mergeCell ref="Z24:AD24"/>
    <mergeCell ref="C26:O26"/>
    <mergeCell ref="P26:Y26"/>
    <mergeCell ref="Z26:AD26"/>
    <mergeCell ref="C25:O25"/>
    <mergeCell ref="P25:Y25"/>
    <mergeCell ref="Z25:AD25"/>
    <mergeCell ref="C24:O24"/>
    <mergeCell ref="C20:O20"/>
    <mergeCell ref="P20:Y20"/>
    <mergeCell ref="Z20:AD20"/>
    <mergeCell ref="C21:O21"/>
    <mergeCell ref="P21:Y21"/>
    <mergeCell ref="Z21:AD21"/>
    <mergeCell ref="C22:O22"/>
    <mergeCell ref="P22:Y22"/>
    <mergeCell ref="Z22:AD22"/>
    <mergeCell ref="C23:O23"/>
    <mergeCell ref="P23:Y23"/>
    <mergeCell ref="Z23:AD23"/>
    <mergeCell ref="C17:O17"/>
    <mergeCell ref="P17:Y17"/>
    <mergeCell ref="Z17:AD17"/>
    <mergeCell ref="C18:O18"/>
    <mergeCell ref="P18:Y18"/>
    <mergeCell ref="Z18:AD18"/>
    <mergeCell ref="C19:O19"/>
    <mergeCell ref="P19:Y19"/>
    <mergeCell ref="Z19:AD19"/>
    <mergeCell ref="Z12:AD12"/>
    <mergeCell ref="C13:O13"/>
    <mergeCell ref="C14:O14"/>
    <mergeCell ref="C15:O15"/>
    <mergeCell ref="C16:O16"/>
    <mergeCell ref="P13:Y13"/>
    <mergeCell ref="Z13:AD13"/>
    <mergeCell ref="P14:Y14"/>
    <mergeCell ref="Z14:AD14"/>
    <mergeCell ref="P15:Y15"/>
    <mergeCell ref="Z15:AD15"/>
    <mergeCell ref="P16:Y16"/>
    <mergeCell ref="Z16:AD16"/>
    <mergeCell ref="C12:O12"/>
    <mergeCell ref="P12:Y12"/>
    <mergeCell ref="A3:I3"/>
    <mergeCell ref="J3:AD3"/>
    <mergeCell ref="A4:I4"/>
    <mergeCell ref="A5:L5"/>
    <mergeCell ref="A7:B7"/>
    <mergeCell ref="C7:O7"/>
    <mergeCell ref="P7:Y7"/>
    <mergeCell ref="Z7:AD7"/>
    <mergeCell ref="C8:O8"/>
    <mergeCell ref="P8:Y8"/>
    <mergeCell ref="Z8:AD8"/>
    <mergeCell ref="C9:O9"/>
    <mergeCell ref="P9:Y9"/>
    <mergeCell ref="Z9:AD9"/>
    <mergeCell ref="C10:O10"/>
    <mergeCell ref="P10:Y10"/>
    <mergeCell ref="Z10:AD10"/>
    <mergeCell ref="C11:O11"/>
    <mergeCell ref="P11:Y11"/>
    <mergeCell ref="Z11:AD11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0" max="1048575" man="1"/>
  </colBreaks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0"/>
  <dimension ref="A1:AF37"/>
  <sheetViews>
    <sheetView view="pageBreakPreview" zoomScale="80" zoomScaleNormal="100" zoomScaleSheetLayoutView="80" workbookViewId="0">
      <selection activeCell="B6" sqref="B6:M6"/>
    </sheetView>
  </sheetViews>
  <sheetFormatPr defaultColWidth="9.14453125" defaultRowHeight="13.5" x14ac:dyDescent="0.15"/>
  <cols>
    <col min="1" max="1" width="5.91796875" style="28" customWidth="1"/>
    <col min="2" max="2" width="4.3046875" style="28" customWidth="1"/>
    <col min="3" max="3" width="1.4765625" style="28" customWidth="1"/>
    <col min="4" max="7" width="3.09375" style="28" customWidth="1"/>
    <col min="8" max="8" width="1.4765625" style="28" customWidth="1"/>
    <col min="9" max="12" width="3.09375" style="28" customWidth="1"/>
    <col min="13" max="13" width="1.61328125" style="28" customWidth="1"/>
    <col min="14" max="14" width="2.82421875" style="28" customWidth="1"/>
    <col min="15" max="26" width="3.09375" style="28" customWidth="1"/>
    <col min="27" max="29" width="4.16796875" style="28" customWidth="1"/>
    <col min="30" max="30" width="4.03515625" style="28" customWidth="1"/>
    <col min="31" max="31" width="3.2265625" style="28" customWidth="1"/>
    <col min="32" max="32" width="2.41796875" style="28" customWidth="1"/>
    <col min="33" max="35" width="3.09375" style="28" customWidth="1"/>
    <col min="36" max="16384" width="9.14453125" style="28"/>
  </cols>
  <sheetData>
    <row r="1" spans="1:32" ht="28.35" customHeight="1" x14ac:dyDescent="0.15"/>
    <row r="2" spans="1:32" ht="18" x14ac:dyDescent="0.2">
      <c r="B2" s="121" t="s">
        <v>84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34"/>
    </row>
    <row r="3" spans="1:32" ht="42" customHeight="1" x14ac:dyDescent="0.15">
      <c r="B3" s="122" t="s">
        <v>2</v>
      </c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</row>
    <row r="4" spans="1:32" s="58" customFormat="1" ht="45.6" customHeight="1" x14ac:dyDescent="0.15">
      <c r="B4" s="123" t="s">
        <v>3</v>
      </c>
      <c r="C4" s="123"/>
      <c r="D4" s="123"/>
      <c r="E4" s="123"/>
      <c r="F4" s="123"/>
      <c r="G4" s="123"/>
      <c r="H4" s="123"/>
      <c r="I4" s="123"/>
      <c r="J4" s="123"/>
      <c r="K4" s="124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4"/>
      <c r="AF4" s="12"/>
    </row>
    <row r="5" spans="1:32" s="58" customFormat="1" ht="24.75" customHeight="1" x14ac:dyDescent="0.15">
      <c r="B5" s="123" t="s">
        <v>6</v>
      </c>
      <c r="C5" s="123"/>
      <c r="D5" s="123"/>
      <c r="E5" s="123"/>
      <c r="F5" s="123"/>
      <c r="G5" s="123"/>
      <c r="H5" s="123"/>
      <c r="I5" s="123"/>
      <c r="J5" s="123"/>
      <c r="K5" s="11" t="str">
        <f>CONCATENATE(Чемп!B4," ",Чемп!C4)</f>
        <v>№ (заполнить) Название (заполнить)</v>
      </c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</row>
    <row r="6" spans="1:32" s="58" customFormat="1" ht="21.75" customHeight="1" x14ac:dyDescent="0.15">
      <c r="B6" s="96" t="str">
        <f>Э_Рег!A5</f>
        <v>Заместитель ГЭЮ на площадке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1" t="str">
        <f>CONCATENATE(Experts!B1," ",Experts!C1," ",Experts!D1)</f>
        <v>Фамилия Имя Отчество</v>
      </c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s="58" customFormat="1" ht="21.75" customHeight="1" x14ac:dyDescent="0.15">
      <c r="A7" s="71">
        <v>1</v>
      </c>
      <c r="B7" s="123" t="s">
        <v>8</v>
      </c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1" t="str">
        <f>VLOOKUP(A7,Experts!E1:F50,2)</f>
        <v>Фамилия Имя Отчество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</row>
    <row r="9" spans="1:32" ht="62.25" customHeight="1" x14ac:dyDescent="0.15">
      <c r="B9" s="118" t="s">
        <v>9</v>
      </c>
      <c r="C9" s="118"/>
      <c r="D9" s="120" t="s">
        <v>11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19" t="s">
        <v>10</v>
      </c>
      <c r="R9" s="119"/>
      <c r="S9" s="119"/>
      <c r="T9" s="119"/>
      <c r="U9" s="119"/>
      <c r="V9" s="119"/>
      <c r="W9" s="119"/>
      <c r="X9" s="119"/>
      <c r="Y9" s="119"/>
      <c r="Z9" s="119"/>
      <c r="AA9" s="120" t="s">
        <v>12</v>
      </c>
      <c r="AB9" s="120"/>
      <c r="AC9" s="120"/>
      <c r="AD9" s="120"/>
      <c r="AE9" s="120"/>
    </row>
    <row r="10" spans="1:32" s="58" customFormat="1" ht="18.75" customHeight="1" x14ac:dyDescent="0.15">
      <c r="B10" s="69">
        <v>1</v>
      </c>
      <c r="C10" s="70" t="s">
        <v>13</v>
      </c>
      <c r="D10" s="107" t="str">
        <f>Experts!F1</f>
        <v>Фамилия Имя Отчество</v>
      </c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9"/>
      <c r="Q10" s="110"/>
      <c r="R10" s="111"/>
      <c r="S10" s="111"/>
      <c r="T10" s="111"/>
      <c r="U10" s="111"/>
      <c r="V10" s="111"/>
      <c r="W10" s="111"/>
      <c r="X10" s="111"/>
      <c r="Y10" s="111"/>
      <c r="Z10" s="112"/>
      <c r="AA10" s="110"/>
      <c r="AB10" s="111"/>
      <c r="AC10" s="111"/>
      <c r="AD10" s="111"/>
      <c r="AE10" s="112"/>
    </row>
    <row r="11" spans="1:32" s="58" customFormat="1" ht="18.75" customHeight="1" x14ac:dyDescent="0.15">
      <c r="B11" s="69">
        <v>2</v>
      </c>
      <c r="C11" s="70" t="s">
        <v>13</v>
      </c>
      <c r="D11" s="107" t="str">
        <f>Experts!F2</f>
        <v>Фамилия Имя Отчество</v>
      </c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9"/>
      <c r="Q11" s="110"/>
      <c r="R11" s="111"/>
      <c r="S11" s="111"/>
      <c r="T11" s="111"/>
      <c r="U11" s="111"/>
      <c r="V11" s="111"/>
      <c r="W11" s="111"/>
      <c r="X11" s="111"/>
      <c r="Y11" s="111"/>
      <c r="Z11" s="112"/>
      <c r="AA11" s="110"/>
      <c r="AB11" s="111"/>
      <c r="AC11" s="111"/>
      <c r="AD11" s="111"/>
      <c r="AE11" s="112"/>
    </row>
    <row r="12" spans="1:32" s="58" customFormat="1" ht="18.75" customHeight="1" x14ac:dyDescent="0.15">
      <c r="B12" s="69">
        <v>3</v>
      </c>
      <c r="C12" s="70" t="s">
        <v>13</v>
      </c>
      <c r="D12" s="107" t="str">
        <f>Experts!F3</f>
        <v>Фамилия Имя Отчество</v>
      </c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9"/>
      <c r="Q12" s="110"/>
      <c r="R12" s="111"/>
      <c r="S12" s="111"/>
      <c r="T12" s="111"/>
      <c r="U12" s="111"/>
      <c r="V12" s="111"/>
      <c r="W12" s="111"/>
      <c r="X12" s="111"/>
      <c r="Y12" s="111"/>
      <c r="Z12" s="112"/>
      <c r="AA12" s="110"/>
      <c r="AB12" s="111"/>
      <c r="AC12" s="111"/>
      <c r="AD12" s="111"/>
      <c r="AE12" s="112"/>
    </row>
    <row r="13" spans="1:32" s="58" customFormat="1" ht="18.75" customHeight="1" x14ac:dyDescent="0.15">
      <c r="B13" s="69">
        <v>4</v>
      </c>
      <c r="C13" s="70" t="s">
        <v>13</v>
      </c>
      <c r="D13" s="107" t="str">
        <f>Experts!F4</f>
        <v>Фамилия Имя Отчество</v>
      </c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9"/>
      <c r="Q13" s="110"/>
      <c r="R13" s="111"/>
      <c r="S13" s="111"/>
      <c r="T13" s="111"/>
      <c r="U13" s="111"/>
      <c r="V13" s="111"/>
      <c r="W13" s="111"/>
      <c r="X13" s="111"/>
      <c r="Y13" s="111"/>
      <c r="Z13" s="112"/>
      <c r="AA13" s="110"/>
      <c r="AB13" s="111"/>
      <c r="AC13" s="111"/>
      <c r="AD13" s="111"/>
      <c r="AE13" s="112"/>
    </row>
    <row r="14" spans="1:32" s="58" customFormat="1" ht="18.75" customHeight="1" x14ac:dyDescent="0.15">
      <c r="B14" s="69">
        <v>5</v>
      </c>
      <c r="C14" s="70" t="s">
        <v>13</v>
      </c>
      <c r="D14" s="107" t="str">
        <f>Experts!F5</f>
        <v>Фамилия Имя Отчество</v>
      </c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9"/>
      <c r="Q14" s="110"/>
      <c r="R14" s="111"/>
      <c r="S14" s="111"/>
      <c r="T14" s="111"/>
      <c r="U14" s="111"/>
      <c r="V14" s="111"/>
      <c r="W14" s="111"/>
      <c r="X14" s="111"/>
      <c r="Y14" s="111"/>
      <c r="Z14" s="112"/>
      <c r="AA14" s="110"/>
      <c r="AB14" s="111"/>
      <c r="AC14" s="111"/>
      <c r="AD14" s="111"/>
      <c r="AE14" s="112"/>
    </row>
    <row r="15" spans="1:32" s="58" customFormat="1" ht="18.75" customHeight="1" x14ac:dyDescent="0.15">
      <c r="B15" s="69">
        <v>6</v>
      </c>
      <c r="C15" s="70" t="s">
        <v>13</v>
      </c>
      <c r="D15" s="107" t="str">
        <f>Experts!F6</f>
        <v>Фамилия Имя Отчество</v>
      </c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9"/>
      <c r="Q15" s="110"/>
      <c r="R15" s="111"/>
      <c r="S15" s="111"/>
      <c r="T15" s="111"/>
      <c r="U15" s="111"/>
      <c r="V15" s="111"/>
      <c r="W15" s="111"/>
      <c r="X15" s="111"/>
      <c r="Y15" s="111"/>
      <c r="Z15" s="112"/>
      <c r="AA15" s="110"/>
      <c r="AB15" s="111"/>
      <c r="AC15" s="111"/>
      <c r="AD15" s="111"/>
      <c r="AE15" s="112"/>
    </row>
    <row r="16" spans="1:32" s="58" customFormat="1" ht="18.75" customHeight="1" x14ac:dyDescent="0.15">
      <c r="B16" s="69">
        <v>7</v>
      </c>
      <c r="C16" s="70" t="s">
        <v>13</v>
      </c>
      <c r="D16" s="107" t="str">
        <f>Experts!F7</f>
        <v>Фамилия Имя Отчество</v>
      </c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9"/>
      <c r="Q16" s="110"/>
      <c r="R16" s="111"/>
      <c r="S16" s="111"/>
      <c r="T16" s="111"/>
      <c r="U16" s="111"/>
      <c r="V16" s="111"/>
      <c r="W16" s="111"/>
      <c r="X16" s="111"/>
      <c r="Y16" s="111"/>
      <c r="Z16" s="112"/>
      <c r="AA16" s="110"/>
      <c r="AB16" s="111"/>
      <c r="AC16" s="111"/>
      <c r="AD16" s="111"/>
      <c r="AE16" s="112"/>
    </row>
    <row r="17" spans="2:31" s="58" customFormat="1" ht="18.75" customHeight="1" x14ac:dyDescent="0.15">
      <c r="B17" s="69">
        <v>8</v>
      </c>
      <c r="C17" s="70" t="s">
        <v>13</v>
      </c>
      <c r="D17" s="107" t="str">
        <f>Experts!F8</f>
        <v>Фамилия Имя Отчество</v>
      </c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9"/>
      <c r="Q17" s="110"/>
      <c r="R17" s="111"/>
      <c r="S17" s="111"/>
      <c r="T17" s="111"/>
      <c r="U17" s="111"/>
      <c r="V17" s="111"/>
      <c r="W17" s="111"/>
      <c r="X17" s="111"/>
      <c r="Y17" s="111"/>
      <c r="Z17" s="112"/>
      <c r="AA17" s="110"/>
      <c r="AB17" s="111"/>
      <c r="AC17" s="111"/>
      <c r="AD17" s="111"/>
      <c r="AE17" s="112"/>
    </row>
    <row r="18" spans="2:31" s="58" customFormat="1" ht="18.75" customHeight="1" x14ac:dyDescent="0.15">
      <c r="B18" s="69">
        <v>9</v>
      </c>
      <c r="C18" s="70" t="s">
        <v>13</v>
      </c>
      <c r="D18" s="107" t="str">
        <f>Experts!F9</f>
        <v>Фамилия Имя Отчество</v>
      </c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9"/>
      <c r="Q18" s="110"/>
      <c r="R18" s="111"/>
      <c r="S18" s="111"/>
      <c r="T18" s="111"/>
      <c r="U18" s="111"/>
      <c r="V18" s="111"/>
      <c r="W18" s="111"/>
      <c r="X18" s="111"/>
      <c r="Y18" s="111"/>
      <c r="Z18" s="112"/>
      <c r="AA18" s="110"/>
      <c r="AB18" s="111"/>
      <c r="AC18" s="111"/>
      <c r="AD18" s="111"/>
      <c r="AE18" s="112"/>
    </row>
    <row r="19" spans="2:31" s="58" customFormat="1" ht="18.75" customHeight="1" x14ac:dyDescent="0.15">
      <c r="B19" s="69">
        <v>10</v>
      </c>
      <c r="C19" s="70" t="s">
        <v>13</v>
      </c>
      <c r="D19" s="107" t="str">
        <f>Experts!F10</f>
        <v>Фамилия Имя Отчество</v>
      </c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9"/>
      <c r="Q19" s="110"/>
      <c r="R19" s="111"/>
      <c r="S19" s="111"/>
      <c r="T19" s="111"/>
      <c r="U19" s="111"/>
      <c r="V19" s="111"/>
      <c r="W19" s="111"/>
      <c r="X19" s="111"/>
      <c r="Y19" s="111"/>
      <c r="Z19" s="112"/>
      <c r="AA19" s="110"/>
      <c r="AB19" s="111"/>
      <c r="AC19" s="111"/>
      <c r="AD19" s="111"/>
      <c r="AE19" s="112"/>
    </row>
    <row r="20" spans="2:31" s="58" customFormat="1" ht="18.75" customHeight="1" x14ac:dyDescent="0.15">
      <c r="B20" s="69">
        <v>11</v>
      </c>
      <c r="C20" s="70" t="s">
        <v>13</v>
      </c>
      <c r="D20" s="107" t="str">
        <f>Experts!F11</f>
        <v xml:space="preserve">  </v>
      </c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9"/>
      <c r="Q20" s="110"/>
      <c r="R20" s="111"/>
      <c r="S20" s="111"/>
      <c r="T20" s="111"/>
      <c r="U20" s="111"/>
      <c r="V20" s="111"/>
      <c r="W20" s="111"/>
      <c r="X20" s="111"/>
      <c r="Y20" s="111"/>
      <c r="Z20" s="112"/>
      <c r="AA20" s="110"/>
      <c r="AB20" s="111"/>
      <c r="AC20" s="111"/>
      <c r="AD20" s="111"/>
      <c r="AE20" s="112"/>
    </row>
    <row r="21" spans="2:31" s="58" customFormat="1" ht="18.75" customHeight="1" x14ac:dyDescent="0.15">
      <c r="B21" s="69">
        <v>12</v>
      </c>
      <c r="C21" s="70" t="s">
        <v>13</v>
      </c>
      <c r="D21" s="107" t="str">
        <f>Experts!F12</f>
        <v xml:space="preserve">  </v>
      </c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9"/>
      <c r="Q21" s="110"/>
      <c r="R21" s="111"/>
      <c r="S21" s="111"/>
      <c r="T21" s="111"/>
      <c r="U21" s="111"/>
      <c r="V21" s="111"/>
      <c r="W21" s="111"/>
      <c r="X21" s="111"/>
      <c r="Y21" s="111"/>
      <c r="Z21" s="112"/>
      <c r="AA21" s="110"/>
      <c r="AB21" s="111"/>
      <c r="AC21" s="111"/>
      <c r="AD21" s="111"/>
      <c r="AE21" s="112"/>
    </row>
    <row r="22" spans="2:31" s="58" customFormat="1" ht="18.75" customHeight="1" x14ac:dyDescent="0.15">
      <c r="B22" s="69">
        <v>13</v>
      </c>
      <c r="C22" s="70" t="s">
        <v>13</v>
      </c>
      <c r="D22" s="107" t="str">
        <f>Experts!F13</f>
        <v xml:space="preserve">  </v>
      </c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9"/>
      <c r="Q22" s="110"/>
      <c r="R22" s="111"/>
      <c r="S22" s="111"/>
      <c r="T22" s="111"/>
      <c r="U22" s="111"/>
      <c r="V22" s="111"/>
      <c r="W22" s="111"/>
      <c r="X22" s="111"/>
      <c r="Y22" s="111"/>
      <c r="Z22" s="112"/>
      <c r="AA22" s="110"/>
      <c r="AB22" s="111"/>
      <c r="AC22" s="111"/>
      <c r="AD22" s="111"/>
      <c r="AE22" s="112"/>
    </row>
    <row r="23" spans="2:31" s="58" customFormat="1" ht="18.75" customHeight="1" x14ac:dyDescent="0.15">
      <c r="B23" s="69">
        <v>14</v>
      </c>
      <c r="C23" s="70" t="s">
        <v>13</v>
      </c>
      <c r="D23" s="107" t="str">
        <f>Experts!F14</f>
        <v xml:space="preserve">  </v>
      </c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9"/>
      <c r="Q23" s="110"/>
      <c r="R23" s="111"/>
      <c r="S23" s="111"/>
      <c r="T23" s="111"/>
      <c r="U23" s="111"/>
      <c r="V23" s="111"/>
      <c r="W23" s="111"/>
      <c r="X23" s="111"/>
      <c r="Y23" s="111"/>
      <c r="Z23" s="112"/>
      <c r="AA23" s="110"/>
      <c r="AB23" s="111"/>
      <c r="AC23" s="111"/>
      <c r="AD23" s="111"/>
      <c r="AE23" s="112"/>
    </row>
    <row r="24" spans="2:31" s="58" customFormat="1" ht="18.75" customHeight="1" x14ac:dyDescent="0.15">
      <c r="B24" s="69">
        <v>15</v>
      </c>
      <c r="C24" s="70" t="s">
        <v>13</v>
      </c>
      <c r="D24" s="107" t="str">
        <f>Experts!F15</f>
        <v xml:space="preserve">  </v>
      </c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9"/>
      <c r="Q24" s="110"/>
      <c r="R24" s="111"/>
      <c r="S24" s="111"/>
      <c r="T24" s="111"/>
      <c r="U24" s="111"/>
      <c r="V24" s="111"/>
      <c r="W24" s="111"/>
      <c r="X24" s="111"/>
      <c r="Y24" s="111"/>
      <c r="Z24" s="112"/>
      <c r="AA24" s="110"/>
      <c r="AB24" s="111"/>
      <c r="AC24" s="111"/>
      <c r="AD24" s="111"/>
      <c r="AE24" s="112"/>
    </row>
    <row r="25" spans="2:31" s="58" customFormat="1" ht="18.75" customHeight="1" x14ac:dyDescent="0.15">
      <c r="B25" s="69">
        <v>16</v>
      </c>
      <c r="C25" s="70" t="s">
        <v>13</v>
      </c>
      <c r="D25" s="107" t="str">
        <f>Experts!F16</f>
        <v xml:space="preserve">  </v>
      </c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9"/>
      <c r="Q25" s="110"/>
      <c r="R25" s="111"/>
      <c r="S25" s="111"/>
      <c r="T25" s="111"/>
      <c r="U25" s="111"/>
      <c r="V25" s="111"/>
      <c r="W25" s="111"/>
      <c r="X25" s="111"/>
      <c r="Y25" s="111"/>
      <c r="Z25" s="112"/>
      <c r="AA25" s="110"/>
      <c r="AB25" s="111"/>
      <c r="AC25" s="111"/>
      <c r="AD25" s="111"/>
      <c r="AE25" s="112"/>
    </row>
    <row r="26" spans="2:31" s="58" customFormat="1" ht="18.75" customHeight="1" x14ac:dyDescent="0.15">
      <c r="B26" s="69">
        <v>17</v>
      </c>
      <c r="C26" s="70" t="s">
        <v>13</v>
      </c>
      <c r="D26" s="107" t="str">
        <f>Experts!F17</f>
        <v xml:space="preserve">  </v>
      </c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9"/>
      <c r="Q26" s="110"/>
      <c r="R26" s="111"/>
      <c r="S26" s="111"/>
      <c r="T26" s="111"/>
      <c r="U26" s="111"/>
      <c r="V26" s="111"/>
      <c r="W26" s="111"/>
      <c r="X26" s="111"/>
      <c r="Y26" s="111"/>
      <c r="Z26" s="112"/>
      <c r="AA26" s="110"/>
      <c r="AB26" s="111"/>
      <c r="AC26" s="111"/>
      <c r="AD26" s="111"/>
      <c r="AE26" s="112"/>
    </row>
    <row r="27" spans="2:31" s="58" customFormat="1" ht="18.75" customHeight="1" x14ac:dyDescent="0.15">
      <c r="B27" s="69">
        <v>18</v>
      </c>
      <c r="C27" s="70" t="s">
        <v>13</v>
      </c>
      <c r="D27" s="107" t="str">
        <f>Experts!F18</f>
        <v xml:space="preserve">  </v>
      </c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9"/>
      <c r="Q27" s="110"/>
      <c r="R27" s="111"/>
      <c r="S27" s="111"/>
      <c r="T27" s="111"/>
      <c r="U27" s="111"/>
      <c r="V27" s="111"/>
      <c r="W27" s="111"/>
      <c r="X27" s="111"/>
      <c r="Y27" s="111"/>
      <c r="Z27" s="112"/>
      <c r="AA27" s="110"/>
      <c r="AB27" s="111"/>
      <c r="AC27" s="111"/>
      <c r="AD27" s="111"/>
      <c r="AE27" s="112"/>
    </row>
    <row r="28" spans="2:31" s="58" customFormat="1" ht="18.75" customHeight="1" x14ac:dyDescent="0.15">
      <c r="B28" s="69">
        <v>19</v>
      </c>
      <c r="C28" s="70" t="s">
        <v>13</v>
      </c>
      <c r="D28" s="107" t="str">
        <f>Experts!F19</f>
        <v xml:space="preserve">  </v>
      </c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9"/>
      <c r="Q28" s="110"/>
      <c r="R28" s="111"/>
      <c r="S28" s="111"/>
      <c r="T28" s="111"/>
      <c r="U28" s="111"/>
      <c r="V28" s="111"/>
      <c r="W28" s="111"/>
      <c r="X28" s="111"/>
      <c r="Y28" s="111"/>
      <c r="Z28" s="112"/>
      <c r="AA28" s="110"/>
      <c r="AB28" s="111"/>
      <c r="AC28" s="111"/>
      <c r="AD28" s="111"/>
      <c r="AE28" s="112"/>
    </row>
    <row r="29" spans="2:31" s="58" customFormat="1" ht="18.75" customHeight="1" x14ac:dyDescent="0.15">
      <c r="B29" s="69">
        <v>20</v>
      </c>
      <c r="C29" s="70" t="s">
        <v>13</v>
      </c>
      <c r="D29" s="107" t="str">
        <f>Experts!F20</f>
        <v xml:space="preserve">  </v>
      </c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9"/>
      <c r="Q29" s="110"/>
      <c r="R29" s="111"/>
      <c r="S29" s="111"/>
      <c r="T29" s="111"/>
      <c r="U29" s="111"/>
      <c r="V29" s="111"/>
      <c r="W29" s="111"/>
      <c r="X29" s="111"/>
      <c r="Y29" s="111"/>
      <c r="Z29" s="112"/>
      <c r="AA29" s="110"/>
      <c r="AB29" s="111"/>
      <c r="AC29" s="111"/>
      <c r="AD29" s="111"/>
      <c r="AE29" s="112"/>
    </row>
    <row r="30" spans="2:31" s="58" customFormat="1" ht="18.75" customHeight="1" x14ac:dyDescent="0.15">
      <c r="B30" s="69">
        <v>21</v>
      </c>
      <c r="C30" s="70" t="s">
        <v>13</v>
      </c>
      <c r="D30" s="107" t="str">
        <f>Experts!F21</f>
        <v xml:space="preserve">  </v>
      </c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9"/>
      <c r="Q30" s="110"/>
      <c r="R30" s="111"/>
      <c r="S30" s="111"/>
      <c r="T30" s="111"/>
      <c r="U30" s="111"/>
      <c r="V30" s="111"/>
      <c r="W30" s="111"/>
      <c r="X30" s="111"/>
      <c r="Y30" s="111"/>
      <c r="Z30" s="112"/>
      <c r="AA30" s="110"/>
      <c r="AB30" s="111"/>
      <c r="AC30" s="111"/>
      <c r="AD30" s="111"/>
      <c r="AE30" s="112"/>
    </row>
    <row r="31" spans="2:31" s="58" customFormat="1" ht="18.75" customHeight="1" x14ac:dyDescent="0.15">
      <c r="B31" s="69">
        <v>22</v>
      </c>
      <c r="C31" s="70" t="s">
        <v>13</v>
      </c>
      <c r="D31" s="107" t="str">
        <f>Experts!F22</f>
        <v xml:space="preserve">  </v>
      </c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9"/>
      <c r="Q31" s="110"/>
      <c r="R31" s="111"/>
      <c r="S31" s="111"/>
      <c r="T31" s="111"/>
      <c r="U31" s="111"/>
      <c r="V31" s="111"/>
      <c r="W31" s="111"/>
      <c r="X31" s="111"/>
      <c r="Y31" s="111"/>
      <c r="Z31" s="112"/>
      <c r="AA31" s="110"/>
      <c r="AB31" s="111"/>
      <c r="AC31" s="111"/>
      <c r="AD31" s="111"/>
      <c r="AE31" s="112"/>
    </row>
    <row r="32" spans="2:31" s="58" customFormat="1" ht="18.75" customHeight="1" x14ac:dyDescent="0.15">
      <c r="B32" s="69">
        <v>23</v>
      </c>
      <c r="C32" s="70" t="s">
        <v>13</v>
      </c>
      <c r="D32" s="107" t="str">
        <f>Experts!F23</f>
        <v xml:space="preserve">  </v>
      </c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9"/>
      <c r="Q32" s="110"/>
      <c r="R32" s="111"/>
      <c r="S32" s="111"/>
      <c r="T32" s="111"/>
      <c r="U32" s="111"/>
      <c r="V32" s="111"/>
      <c r="W32" s="111"/>
      <c r="X32" s="111"/>
      <c r="Y32" s="111"/>
      <c r="Z32" s="112"/>
      <c r="AA32" s="110"/>
      <c r="AB32" s="111"/>
      <c r="AC32" s="111"/>
      <c r="AD32" s="111"/>
      <c r="AE32" s="112"/>
    </row>
    <row r="33" spans="1:31" s="58" customFormat="1" ht="18.75" customHeight="1" x14ac:dyDescent="0.15">
      <c r="B33" s="69">
        <v>24</v>
      </c>
      <c r="C33" s="70" t="s">
        <v>13</v>
      </c>
      <c r="D33" s="107" t="str">
        <f>Experts!F24</f>
        <v xml:space="preserve">  </v>
      </c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9"/>
      <c r="Q33" s="110"/>
      <c r="R33" s="111"/>
      <c r="S33" s="111"/>
      <c r="T33" s="111"/>
      <c r="U33" s="111"/>
      <c r="V33" s="111"/>
      <c r="W33" s="111"/>
      <c r="X33" s="111"/>
      <c r="Y33" s="111"/>
      <c r="Z33" s="112"/>
      <c r="AA33" s="110"/>
      <c r="AB33" s="111"/>
      <c r="AC33" s="111"/>
      <c r="AD33" s="111"/>
      <c r="AE33" s="112"/>
    </row>
    <row r="34" spans="1:31" s="58" customFormat="1" ht="18.75" customHeight="1" x14ac:dyDescent="0.15">
      <c r="B34" s="69">
        <v>25</v>
      </c>
      <c r="C34" s="70" t="s">
        <v>13</v>
      </c>
      <c r="D34" s="107" t="str">
        <f>Experts!F25</f>
        <v xml:space="preserve">  </v>
      </c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9"/>
      <c r="Q34" s="110"/>
      <c r="R34" s="111"/>
      <c r="S34" s="111"/>
      <c r="T34" s="111"/>
      <c r="U34" s="111"/>
      <c r="V34" s="111"/>
      <c r="W34" s="111"/>
      <c r="X34" s="111"/>
      <c r="Y34" s="111"/>
      <c r="Z34" s="112"/>
      <c r="AA34" s="110"/>
      <c r="AB34" s="111"/>
      <c r="AC34" s="111"/>
      <c r="AD34" s="111"/>
      <c r="AE34" s="112"/>
    </row>
    <row r="35" spans="1:31" s="58" customFormat="1" ht="14.25" x14ac:dyDescent="0.15">
      <c r="A35" s="28" t="s">
        <v>67</v>
      </c>
      <c r="B35" s="19"/>
      <c r="C35" s="19"/>
      <c r="D35" s="40"/>
      <c r="E35" s="40"/>
      <c r="F35" s="40"/>
      <c r="G35" s="40"/>
      <c r="H35" s="40"/>
      <c r="I35" s="40"/>
      <c r="J35" s="40"/>
      <c r="K35" s="40"/>
    </row>
    <row r="36" spans="1:31" ht="25.5" x14ac:dyDescent="0.3">
      <c r="A36" s="87">
        <v>-2</v>
      </c>
      <c r="B36" s="115" t="s">
        <v>14</v>
      </c>
      <c r="C36" s="115"/>
      <c r="D36" s="115"/>
      <c r="E36" s="115"/>
      <c r="F36" s="117">
        <f>Чемп!B9+A36</f>
        <v>44432</v>
      </c>
      <c r="G36" s="117"/>
      <c r="H36" s="117"/>
      <c r="I36" s="117"/>
      <c r="J36" s="117"/>
      <c r="K36" s="117"/>
      <c r="L36" s="86"/>
      <c r="M36" s="38"/>
      <c r="N36" s="38"/>
      <c r="O36" s="38"/>
      <c r="P36" s="38"/>
      <c r="Q36" s="19"/>
      <c r="S36" s="116" t="s">
        <v>15</v>
      </c>
      <c r="T36" s="116"/>
      <c r="U36" s="116"/>
      <c r="V36" s="116"/>
      <c r="W36" s="116"/>
      <c r="X36" s="116"/>
      <c r="Y36" s="116"/>
      <c r="Z36" s="114"/>
      <c r="AA36" s="114"/>
      <c r="AB36" s="114"/>
      <c r="AC36" s="114"/>
      <c r="AD36" s="114"/>
      <c r="AE36" s="114"/>
    </row>
    <row r="37" spans="1:31" x14ac:dyDescent="0.15">
      <c r="Z37" s="113" t="s">
        <v>16</v>
      </c>
      <c r="AA37" s="113"/>
      <c r="AB37" s="113"/>
      <c r="AC37" s="113"/>
      <c r="AD37" s="113"/>
      <c r="AE37" s="113"/>
    </row>
  </sheetData>
  <sheetProtection formatCells="0" formatColumns="0" formatRows="0"/>
  <mergeCells count="91">
    <mergeCell ref="B9:C9"/>
    <mergeCell ref="Q9:Z9"/>
    <mergeCell ref="D9:P9"/>
    <mergeCell ref="AA9:AE9"/>
    <mergeCell ref="B2:AE2"/>
    <mergeCell ref="B3:AE3"/>
    <mergeCell ref="B4:J4"/>
    <mergeCell ref="B5:J5"/>
    <mergeCell ref="K4:AE4"/>
    <mergeCell ref="B6:M6"/>
    <mergeCell ref="B7:M7"/>
    <mergeCell ref="D10:P10"/>
    <mergeCell ref="D11:P11"/>
    <mergeCell ref="D12:P12"/>
    <mergeCell ref="D13:P13"/>
    <mergeCell ref="AA10:AE10"/>
    <mergeCell ref="AA11:AE11"/>
    <mergeCell ref="AA12:AE12"/>
    <mergeCell ref="Q10:Z10"/>
    <mergeCell ref="Q11:Z11"/>
    <mergeCell ref="Q12:Z12"/>
    <mergeCell ref="Q13:Z13"/>
    <mergeCell ref="Q14:Z14"/>
    <mergeCell ref="AA13:AE13"/>
    <mergeCell ref="AA14:AE14"/>
    <mergeCell ref="D16:P16"/>
    <mergeCell ref="Q16:Z16"/>
    <mergeCell ref="AA16:AE16"/>
    <mergeCell ref="AA15:AE15"/>
    <mergeCell ref="D14:P14"/>
    <mergeCell ref="D15:P15"/>
    <mergeCell ref="Q15:Z15"/>
    <mergeCell ref="D17:P17"/>
    <mergeCell ref="Q17:Z17"/>
    <mergeCell ref="AA17:AE17"/>
    <mergeCell ref="D18:P18"/>
    <mergeCell ref="Q18:Z18"/>
    <mergeCell ref="AA18:AE18"/>
    <mergeCell ref="D19:P19"/>
    <mergeCell ref="Q19:Z19"/>
    <mergeCell ref="AA19:AE19"/>
    <mergeCell ref="D20:P20"/>
    <mergeCell ref="Q20:Z20"/>
    <mergeCell ref="AA20:AE20"/>
    <mergeCell ref="D21:P21"/>
    <mergeCell ref="Q21:Z21"/>
    <mergeCell ref="AA21:AE21"/>
    <mergeCell ref="D22:P22"/>
    <mergeCell ref="Q22:Z22"/>
    <mergeCell ref="AA22:AE22"/>
    <mergeCell ref="D23:P23"/>
    <mergeCell ref="Q23:Z23"/>
    <mergeCell ref="AA23:AE23"/>
    <mergeCell ref="D24:P24"/>
    <mergeCell ref="Q24:Z24"/>
    <mergeCell ref="AA24:AE24"/>
    <mergeCell ref="D25:P25"/>
    <mergeCell ref="Q25:Z25"/>
    <mergeCell ref="AA25:AE25"/>
    <mergeCell ref="D26:P26"/>
    <mergeCell ref="Q26:Z26"/>
    <mergeCell ref="AA26:AE26"/>
    <mergeCell ref="D27:P27"/>
    <mergeCell ref="Q27:Z27"/>
    <mergeCell ref="AA27:AE27"/>
    <mergeCell ref="Q31:Z31"/>
    <mergeCell ref="AA31:AE31"/>
    <mergeCell ref="D28:P28"/>
    <mergeCell ref="Q28:Z28"/>
    <mergeCell ref="AA28:AE28"/>
    <mergeCell ref="D29:P29"/>
    <mergeCell ref="Q29:Z29"/>
    <mergeCell ref="AA29:AE29"/>
    <mergeCell ref="D30:P30"/>
    <mergeCell ref="Q30:Z30"/>
    <mergeCell ref="AA30:AE30"/>
    <mergeCell ref="D31:P31"/>
    <mergeCell ref="Z37:AE37"/>
    <mergeCell ref="Z36:AE36"/>
    <mergeCell ref="D34:P34"/>
    <mergeCell ref="Q34:Z34"/>
    <mergeCell ref="AA34:AE34"/>
    <mergeCell ref="B36:E36"/>
    <mergeCell ref="S36:Y36"/>
    <mergeCell ref="F36:K36"/>
    <mergeCell ref="D32:P32"/>
    <mergeCell ref="Q32:Z32"/>
    <mergeCell ref="AA32:AE32"/>
    <mergeCell ref="D33:P33"/>
    <mergeCell ref="Q33:Z33"/>
    <mergeCell ref="AA33:AE33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AE37"/>
  <sheetViews>
    <sheetView view="pageBreakPreview" topLeftCell="A13" zoomScale="80" zoomScaleNormal="100" zoomScaleSheetLayoutView="80" workbookViewId="0">
      <selection activeCell="R36" sqref="R36:X36"/>
    </sheetView>
  </sheetViews>
  <sheetFormatPr defaultColWidth="9.14453125" defaultRowHeight="14.25" x14ac:dyDescent="0.15"/>
  <cols>
    <col min="1" max="1" width="4.3046875" style="58" customWidth="1"/>
    <col min="2" max="2" width="1.4765625" style="58" customWidth="1"/>
    <col min="3" max="6" width="3.09375" style="58" customWidth="1"/>
    <col min="7" max="7" width="1.4765625" style="58" customWidth="1"/>
    <col min="8" max="11" width="3.09375" style="58" customWidth="1"/>
    <col min="12" max="12" width="1.61328125" style="58" customWidth="1"/>
    <col min="13" max="13" width="2.82421875" style="58" customWidth="1"/>
    <col min="14" max="25" width="3.09375" style="58" customWidth="1"/>
    <col min="26" max="28" width="4.16796875" style="58" customWidth="1"/>
    <col min="29" max="29" width="4.03515625" style="58" customWidth="1"/>
    <col min="30" max="30" width="3.2265625" style="58" customWidth="1"/>
    <col min="31" max="31" width="2.41796875" style="58" customWidth="1"/>
    <col min="32" max="34" width="3.09375" style="58" customWidth="1"/>
    <col min="35" max="16384" width="9.14453125" style="58"/>
  </cols>
  <sheetData>
    <row r="1" spans="1:31" ht="28.35" customHeight="1" x14ac:dyDescent="0.15"/>
    <row r="2" spans="1:31" ht="18" x14ac:dyDescent="0.15">
      <c r="A2" s="122" t="s">
        <v>84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</row>
    <row r="3" spans="1:31" ht="39" customHeight="1" x14ac:dyDescent="0.15">
      <c r="A3" s="122" t="s">
        <v>73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</row>
    <row r="4" spans="1:31" ht="45.6" customHeight="1" x14ac:dyDescent="0.15">
      <c r="A4" s="123" t="s">
        <v>3</v>
      </c>
      <c r="B4" s="123"/>
      <c r="C4" s="123"/>
      <c r="D4" s="123"/>
      <c r="E4" s="123"/>
      <c r="F4" s="123"/>
      <c r="G4" s="123"/>
      <c r="H4" s="123"/>
      <c r="I4" s="123"/>
      <c r="J4" s="124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"/>
    </row>
    <row r="5" spans="1:31" ht="24.75" customHeight="1" x14ac:dyDescent="0.15">
      <c r="A5" s="123" t="s">
        <v>6</v>
      </c>
      <c r="B5" s="123"/>
      <c r="C5" s="123"/>
      <c r="D5" s="123"/>
      <c r="E5" s="123"/>
      <c r="F5" s="123"/>
      <c r="G5" s="123"/>
      <c r="H5" s="123"/>
      <c r="I5" s="123"/>
      <c r="J5" s="11" t="str">
        <f>CONCATENATE(Чемп!B4," ",Чемп!C4)</f>
        <v>№ (заполнить) Название (заполнить)</v>
      </c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2"/>
    </row>
    <row r="6" spans="1:31" ht="21.75" customHeight="1" x14ac:dyDescent="0.15">
      <c r="A6" s="123" t="s">
        <v>106</v>
      </c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1" t="str">
        <f>CONCATENATE(Experts!B1," ",Experts!C1," ",Experts!D1)</f>
        <v>Фамилия Имя Отчество</v>
      </c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ht="57.75" customHeight="1" x14ac:dyDescent="0.15">
      <c r="A7" s="48"/>
      <c r="B7" s="132" t="s">
        <v>50</v>
      </c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1"/>
      <c r="AE7" s="11"/>
    </row>
    <row r="8" spans="1:31" ht="11.25" customHeight="1" x14ac:dyDescent="0.15"/>
    <row r="9" spans="1:31" ht="62.25" customHeight="1" x14ac:dyDescent="0.15">
      <c r="A9" s="125" t="s">
        <v>9</v>
      </c>
      <c r="B9" s="125"/>
      <c r="C9" s="126" t="s">
        <v>11</v>
      </c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7" t="s">
        <v>10</v>
      </c>
      <c r="Q9" s="127"/>
      <c r="R9" s="127"/>
      <c r="S9" s="127"/>
      <c r="T9" s="127"/>
      <c r="U9" s="127"/>
      <c r="V9" s="127"/>
      <c r="W9" s="127"/>
      <c r="X9" s="127"/>
      <c r="Y9" s="127"/>
      <c r="Z9" s="126" t="s">
        <v>12</v>
      </c>
      <c r="AA9" s="126"/>
      <c r="AB9" s="126"/>
      <c r="AC9" s="126"/>
      <c r="AD9" s="126"/>
    </row>
    <row r="10" spans="1:31" s="48" customFormat="1" ht="24.75" customHeight="1" x14ac:dyDescent="0.2">
      <c r="A10" s="67">
        <v>1</v>
      </c>
      <c r="B10" s="66" t="s">
        <v>13</v>
      </c>
      <c r="C10" s="128" t="str">
        <f>Experts!F1</f>
        <v>Фамилия Имя Отчество</v>
      </c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30"/>
      <c r="P10" s="128"/>
      <c r="Q10" s="129"/>
      <c r="R10" s="129"/>
      <c r="S10" s="129"/>
      <c r="T10" s="129"/>
      <c r="U10" s="129"/>
      <c r="V10" s="129"/>
      <c r="W10" s="129"/>
      <c r="X10" s="129"/>
      <c r="Y10" s="130"/>
      <c r="Z10" s="128"/>
      <c r="AA10" s="129"/>
      <c r="AB10" s="129"/>
      <c r="AC10" s="129"/>
      <c r="AD10" s="130"/>
    </row>
    <row r="11" spans="1:31" s="48" customFormat="1" ht="24.75" customHeight="1" x14ac:dyDescent="0.2">
      <c r="A11" s="67">
        <v>2</v>
      </c>
      <c r="B11" s="66" t="s">
        <v>13</v>
      </c>
      <c r="C11" s="128" t="str">
        <f>Experts!F2</f>
        <v>Фамилия Имя Отчество</v>
      </c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30"/>
      <c r="P11" s="128"/>
      <c r="Q11" s="129"/>
      <c r="R11" s="129"/>
      <c r="S11" s="129"/>
      <c r="T11" s="129"/>
      <c r="U11" s="129"/>
      <c r="V11" s="129"/>
      <c r="W11" s="129"/>
      <c r="X11" s="129"/>
      <c r="Y11" s="130"/>
      <c r="Z11" s="128"/>
      <c r="AA11" s="129"/>
      <c r="AB11" s="129"/>
      <c r="AC11" s="129"/>
      <c r="AD11" s="130"/>
    </row>
    <row r="12" spans="1:31" s="48" customFormat="1" ht="24.75" customHeight="1" x14ac:dyDescent="0.2">
      <c r="A12" s="67">
        <v>3</v>
      </c>
      <c r="B12" s="66" t="s">
        <v>13</v>
      </c>
      <c r="C12" s="128" t="str">
        <f>Experts!F3</f>
        <v>Фамилия Имя Отчество</v>
      </c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30"/>
      <c r="P12" s="128"/>
      <c r="Q12" s="129"/>
      <c r="R12" s="129"/>
      <c r="S12" s="129"/>
      <c r="T12" s="129"/>
      <c r="U12" s="129"/>
      <c r="V12" s="129"/>
      <c r="W12" s="129"/>
      <c r="X12" s="129"/>
      <c r="Y12" s="130"/>
      <c r="Z12" s="128"/>
      <c r="AA12" s="129"/>
      <c r="AB12" s="129"/>
      <c r="AC12" s="129"/>
      <c r="AD12" s="130"/>
    </row>
    <row r="13" spans="1:31" s="48" customFormat="1" ht="24.75" customHeight="1" x14ac:dyDescent="0.2">
      <c r="A13" s="67">
        <v>4</v>
      </c>
      <c r="B13" s="66" t="s">
        <v>13</v>
      </c>
      <c r="C13" s="128" t="str">
        <f>Experts!F4</f>
        <v>Фамилия Имя Отчество</v>
      </c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30"/>
      <c r="P13" s="128"/>
      <c r="Q13" s="129"/>
      <c r="R13" s="129"/>
      <c r="S13" s="129"/>
      <c r="T13" s="129"/>
      <c r="U13" s="129"/>
      <c r="V13" s="129"/>
      <c r="W13" s="129"/>
      <c r="X13" s="129"/>
      <c r="Y13" s="130"/>
      <c r="Z13" s="128"/>
      <c r="AA13" s="129"/>
      <c r="AB13" s="129"/>
      <c r="AC13" s="129"/>
      <c r="AD13" s="130"/>
    </row>
    <row r="14" spans="1:31" s="48" customFormat="1" ht="24.75" customHeight="1" x14ac:dyDescent="0.2">
      <c r="A14" s="67">
        <v>5</v>
      </c>
      <c r="B14" s="66" t="s">
        <v>13</v>
      </c>
      <c r="C14" s="128" t="str">
        <f>Experts!F5</f>
        <v>Фамилия Имя Отчество</v>
      </c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30"/>
      <c r="P14" s="128"/>
      <c r="Q14" s="129"/>
      <c r="R14" s="129"/>
      <c r="S14" s="129"/>
      <c r="T14" s="129"/>
      <c r="U14" s="129"/>
      <c r="V14" s="129"/>
      <c r="W14" s="129"/>
      <c r="X14" s="129"/>
      <c r="Y14" s="130"/>
      <c r="Z14" s="128"/>
      <c r="AA14" s="129"/>
      <c r="AB14" s="129"/>
      <c r="AC14" s="129"/>
      <c r="AD14" s="130"/>
    </row>
    <row r="15" spans="1:31" s="48" customFormat="1" ht="24.75" customHeight="1" x14ac:dyDescent="0.2">
      <c r="A15" s="67">
        <v>6</v>
      </c>
      <c r="B15" s="66" t="s">
        <v>13</v>
      </c>
      <c r="C15" s="128" t="str">
        <f>Experts!F6</f>
        <v>Фамилия Имя Отчество</v>
      </c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30"/>
      <c r="P15" s="128"/>
      <c r="Q15" s="129"/>
      <c r="R15" s="129"/>
      <c r="S15" s="129"/>
      <c r="T15" s="129"/>
      <c r="U15" s="129"/>
      <c r="V15" s="129"/>
      <c r="W15" s="129"/>
      <c r="X15" s="129"/>
      <c r="Y15" s="130"/>
      <c r="Z15" s="128"/>
      <c r="AA15" s="129"/>
      <c r="AB15" s="129"/>
      <c r="AC15" s="129"/>
      <c r="AD15" s="130"/>
    </row>
    <row r="16" spans="1:31" s="48" customFormat="1" ht="24.75" customHeight="1" x14ac:dyDescent="0.2">
      <c r="A16" s="67">
        <v>7</v>
      </c>
      <c r="B16" s="66" t="s">
        <v>13</v>
      </c>
      <c r="C16" s="128" t="str">
        <f>Experts!F7</f>
        <v>Фамилия Имя Отчество</v>
      </c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30"/>
      <c r="P16" s="128"/>
      <c r="Q16" s="129"/>
      <c r="R16" s="129"/>
      <c r="S16" s="129"/>
      <c r="T16" s="129"/>
      <c r="U16" s="129"/>
      <c r="V16" s="129"/>
      <c r="W16" s="129"/>
      <c r="X16" s="129"/>
      <c r="Y16" s="130"/>
      <c r="Z16" s="128"/>
      <c r="AA16" s="129"/>
      <c r="AB16" s="129"/>
      <c r="AC16" s="129"/>
      <c r="AD16" s="130"/>
    </row>
    <row r="17" spans="1:30" s="48" customFormat="1" ht="24.75" customHeight="1" x14ac:dyDescent="0.2">
      <c r="A17" s="67">
        <v>8</v>
      </c>
      <c r="B17" s="66" t="s">
        <v>13</v>
      </c>
      <c r="C17" s="128" t="str">
        <f>Experts!F8</f>
        <v>Фамилия Имя Отчество</v>
      </c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30"/>
      <c r="P17" s="128"/>
      <c r="Q17" s="129"/>
      <c r="R17" s="129"/>
      <c r="S17" s="129"/>
      <c r="T17" s="129"/>
      <c r="U17" s="129"/>
      <c r="V17" s="129"/>
      <c r="W17" s="129"/>
      <c r="X17" s="129"/>
      <c r="Y17" s="130"/>
      <c r="Z17" s="128"/>
      <c r="AA17" s="129"/>
      <c r="AB17" s="129"/>
      <c r="AC17" s="129"/>
      <c r="AD17" s="130"/>
    </row>
    <row r="18" spans="1:30" s="48" customFormat="1" ht="24.75" customHeight="1" x14ac:dyDescent="0.2">
      <c r="A18" s="67">
        <v>9</v>
      </c>
      <c r="B18" s="66" t="s">
        <v>13</v>
      </c>
      <c r="C18" s="128" t="str">
        <f>Experts!F9</f>
        <v>Фамилия Имя Отчество</v>
      </c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29"/>
      <c r="O18" s="130"/>
      <c r="P18" s="128"/>
      <c r="Q18" s="129"/>
      <c r="R18" s="129"/>
      <c r="S18" s="129"/>
      <c r="T18" s="129"/>
      <c r="U18" s="129"/>
      <c r="V18" s="129"/>
      <c r="W18" s="129"/>
      <c r="X18" s="129"/>
      <c r="Y18" s="130"/>
      <c r="Z18" s="128"/>
      <c r="AA18" s="129"/>
      <c r="AB18" s="129"/>
      <c r="AC18" s="129"/>
      <c r="AD18" s="130"/>
    </row>
    <row r="19" spans="1:30" s="48" customFormat="1" ht="24.75" customHeight="1" x14ac:dyDescent="0.2">
      <c r="A19" s="67">
        <v>10</v>
      </c>
      <c r="B19" s="66" t="s">
        <v>13</v>
      </c>
      <c r="C19" s="128" t="str">
        <f>Experts!F10</f>
        <v>Фамилия Имя Отчество</v>
      </c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30"/>
      <c r="P19" s="128"/>
      <c r="Q19" s="129"/>
      <c r="R19" s="129"/>
      <c r="S19" s="129"/>
      <c r="T19" s="129"/>
      <c r="U19" s="129"/>
      <c r="V19" s="129"/>
      <c r="W19" s="129"/>
      <c r="X19" s="129"/>
      <c r="Y19" s="130"/>
      <c r="Z19" s="128"/>
      <c r="AA19" s="129"/>
      <c r="AB19" s="129"/>
      <c r="AC19" s="129"/>
      <c r="AD19" s="130"/>
    </row>
    <row r="20" spans="1:30" s="48" customFormat="1" ht="24.75" customHeight="1" x14ac:dyDescent="0.2">
      <c r="A20" s="67">
        <v>11</v>
      </c>
      <c r="B20" s="66" t="s">
        <v>13</v>
      </c>
      <c r="C20" s="128" t="str">
        <f>Experts!F11</f>
        <v xml:space="preserve">  </v>
      </c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30"/>
      <c r="P20" s="128"/>
      <c r="Q20" s="129"/>
      <c r="R20" s="129"/>
      <c r="S20" s="129"/>
      <c r="T20" s="129"/>
      <c r="U20" s="129"/>
      <c r="V20" s="129"/>
      <c r="W20" s="129"/>
      <c r="X20" s="129"/>
      <c r="Y20" s="130"/>
      <c r="Z20" s="128"/>
      <c r="AA20" s="129"/>
      <c r="AB20" s="129"/>
      <c r="AC20" s="129"/>
      <c r="AD20" s="130"/>
    </row>
    <row r="21" spans="1:30" s="48" customFormat="1" ht="24.75" customHeight="1" x14ac:dyDescent="0.2">
      <c r="A21" s="67">
        <v>12</v>
      </c>
      <c r="B21" s="66" t="s">
        <v>13</v>
      </c>
      <c r="C21" s="128" t="str">
        <f>Experts!F12</f>
        <v xml:space="preserve">  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30"/>
      <c r="P21" s="128"/>
      <c r="Q21" s="129"/>
      <c r="R21" s="129"/>
      <c r="S21" s="129"/>
      <c r="T21" s="129"/>
      <c r="U21" s="129"/>
      <c r="V21" s="129"/>
      <c r="W21" s="129"/>
      <c r="X21" s="129"/>
      <c r="Y21" s="130"/>
      <c r="Z21" s="128"/>
      <c r="AA21" s="129"/>
      <c r="AB21" s="129"/>
      <c r="AC21" s="129"/>
      <c r="AD21" s="130"/>
    </row>
    <row r="22" spans="1:30" s="48" customFormat="1" ht="24.75" customHeight="1" x14ac:dyDescent="0.2">
      <c r="A22" s="67">
        <v>13</v>
      </c>
      <c r="B22" s="66" t="s">
        <v>13</v>
      </c>
      <c r="C22" s="128" t="str">
        <f>Experts!F13</f>
        <v xml:space="preserve">  </v>
      </c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30"/>
      <c r="P22" s="128"/>
      <c r="Q22" s="129"/>
      <c r="R22" s="129"/>
      <c r="S22" s="129"/>
      <c r="T22" s="129"/>
      <c r="U22" s="129"/>
      <c r="V22" s="129"/>
      <c r="W22" s="129"/>
      <c r="X22" s="129"/>
      <c r="Y22" s="130"/>
      <c r="Z22" s="128"/>
      <c r="AA22" s="129"/>
      <c r="AB22" s="129"/>
      <c r="AC22" s="129"/>
      <c r="AD22" s="130"/>
    </row>
    <row r="23" spans="1:30" s="48" customFormat="1" ht="24.75" customHeight="1" x14ac:dyDescent="0.2">
      <c r="A23" s="67">
        <v>14</v>
      </c>
      <c r="B23" s="66" t="s">
        <v>13</v>
      </c>
      <c r="C23" s="128" t="str">
        <f>Experts!F14</f>
        <v xml:space="preserve">  </v>
      </c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30"/>
      <c r="P23" s="128"/>
      <c r="Q23" s="129"/>
      <c r="R23" s="129"/>
      <c r="S23" s="129"/>
      <c r="T23" s="129"/>
      <c r="U23" s="129"/>
      <c r="V23" s="129"/>
      <c r="W23" s="129"/>
      <c r="X23" s="129"/>
      <c r="Y23" s="130"/>
      <c r="Z23" s="128"/>
      <c r="AA23" s="129"/>
      <c r="AB23" s="129"/>
      <c r="AC23" s="129"/>
      <c r="AD23" s="130"/>
    </row>
    <row r="24" spans="1:30" s="48" customFormat="1" ht="24.75" customHeight="1" x14ac:dyDescent="0.2">
      <c r="A24" s="67">
        <v>15</v>
      </c>
      <c r="B24" s="66" t="s">
        <v>13</v>
      </c>
      <c r="C24" s="128" t="str">
        <f>Experts!F15</f>
        <v xml:space="preserve">  </v>
      </c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30"/>
      <c r="P24" s="128"/>
      <c r="Q24" s="129"/>
      <c r="R24" s="129"/>
      <c r="S24" s="129"/>
      <c r="T24" s="129"/>
      <c r="U24" s="129"/>
      <c r="V24" s="129"/>
      <c r="W24" s="129"/>
      <c r="X24" s="129"/>
      <c r="Y24" s="130"/>
      <c r="Z24" s="128"/>
      <c r="AA24" s="129"/>
      <c r="AB24" s="129"/>
      <c r="AC24" s="129"/>
      <c r="AD24" s="130"/>
    </row>
    <row r="25" spans="1:30" s="48" customFormat="1" ht="24.75" customHeight="1" x14ac:dyDescent="0.2">
      <c r="A25" s="67">
        <v>16</v>
      </c>
      <c r="B25" s="66" t="s">
        <v>13</v>
      </c>
      <c r="C25" s="128" t="str">
        <f>Experts!F16</f>
        <v xml:space="preserve">  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30"/>
      <c r="P25" s="128"/>
      <c r="Q25" s="129"/>
      <c r="R25" s="129"/>
      <c r="S25" s="129"/>
      <c r="T25" s="129"/>
      <c r="U25" s="129"/>
      <c r="V25" s="129"/>
      <c r="W25" s="129"/>
      <c r="X25" s="129"/>
      <c r="Y25" s="130"/>
      <c r="Z25" s="128"/>
      <c r="AA25" s="129"/>
      <c r="AB25" s="129"/>
      <c r="AC25" s="129"/>
      <c r="AD25" s="130"/>
    </row>
    <row r="26" spans="1:30" s="48" customFormat="1" ht="24.75" customHeight="1" x14ac:dyDescent="0.2">
      <c r="A26" s="67">
        <v>17</v>
      </c>
      <c r="B26" s="66" t="s">
        <v>13</v>
      </c>
      <c r="C26" s="128" t="str">
        <f>Experts!F17</f>
        <v xml:space="preserve">  </v>
      </c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30"/>
      <c r="P26" s="128"/>
      <c r="Q26" s="129"/>
      <c r="R26" s="129"/>
      <c r="S26" s="129"/>
      <c r="T26" s="129"/>
      <c r="U26" s="129"/>
      <c r="V26" s="129"/>
      <c r="W26" s="129"/>
      <c r="X26" s="129"/>
      <c r="Y26" s="130"/>
      <c r="Z26" s="128"/>
      <c r="AA26" s="129"/>
      <c r="AB26" s="129"/>
      <c r="AC26" s="129"/>
      <c r="AD26" s="130"/>
    </row>
    <row r="27" spans="1:30" s="48" customFormat="1" ht="24.75" customHeight="1" x14ac:dyDescent="0.2">
      <c r="A27" s="67">
        <v>18</v>
      </c>
      <c r="B27" s="66" t="s">
        <v>13</v>
      </c>
      <c r="C27" s="128" t="str">
        <f>Experts!F18</f>
        <v xml:space="preserve">  </v>
      </c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30"/>
      <c r="P27" s="128"/>
      <c r="Q27" s="129"/>
      <c r="R27" s="129"/>
      <c r="S27" s="129"/>
      <c r="T27" s="129"/>
      <c r="U27" s="129"/>
      <c r="V27" s="129"/>
      <c r="W27" s="129"/>
      <c r="X27" s="129"/>
      <c r="Y27" s="130"/>
      <c r="Z27" s="128"/>
      <c r="AA27" s="129"/>
      <c r="AB27" s="129"/>
      <c r="AC27" s="129"/>
      <c r="AD27" s="130"/>
    </row>
    <row r="28" spans="1:30" s="48" customFormat="1" ht="24.75" customHeight="1" x14ac:dyDescent="0.2">
      <c r="A28" s="67">
        <v>19</v>
      </c>
      <c r="B28" s="66" t="s">
        <v>13</v>
      </c>
      <c r="C28" s="128" t="str">
        <f>Experts!F19</f>
        <v xml:space="preserve">  </v>
      </c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30"/>
      <c r="P28" s="128"/>
      <c r="Q28" s="129"/>
      <c r="R28" s="129"/>
      <c r="S28" s="129"/>
      <c r="T28" s="129"/>
      <c r="U28" s="129"/>
      <c r="V28" s="129"/>
      <c r="W28" s="129"/>
      <c r="X28" s="129"/>
      <c r="Y28" s="130"/>
      <c r="Z28" s="128"/>
      <c r="AA28" s="129"/>
      <c r="AB28" s="129"/>
      <c r="AC28" s="129"/>
      <c r="AD28" s="130"/>
    </row>
    <row r="29" spans="1:30" s="48" customFormat="1" ht="24.75" customHeight="1" x14ac:dyDescent="0.2">
      <c r="A29" s="67">
        <v>20</v>
      </c>
      <c r="B29" s="66" t="s">
        <v>13</v>
      </c>
      <c r="C29" s="128" t="str">
        <f>Experts!F20</f>
        <v xml:space="preserve">  </v>
      </c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30"/>
      <c r="P29" s="128"/>
      <c r="Q29" s="129"/>
      <c r="R29" s="129"/>
      <c r="S29" s="129"/>
      <c r="T29" s="129"/>
      <c r="U29" s="129"/>
      <c r="V29" s="129"/>
      <c r="W29" s="129"/>
      <c r="X29" s="129"/>
      <c r="Y29" s="130"/>
      <c r="Z29" s="128"/>
      <c r="AA29" s="129"/>
      <c r="AB29" s="129"/>
      <c r="AC29" s="129"/>
      <c r="AD29" s="130"/>
    </row>
    <row r="30" spans="1:30" s="48" customFormat="1" ht="24.75" customHeight="1" x14ac:dyDescent="0.2">
      <c r="A30" s="67">
        <v>21</v>
      </c>
      <c r="B30" s="66" t="s">
        <v>13</v>
      </c>
      <c r="C30" s="128" t="str">
        <f>Experts!F21</f>
        <v xml:space="preserve">  </v>
      </c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30"/>
      <c r="P30" s="128"/>
      <c r="Q30" s="129"/>
      <c r="R30" s="129"/>
      <c r="S30" s="129"/>
      <c r="T30" s="129"/>
      <c r="U30" s="129"/>
      <c r="V30" s="129"/>
      <c r="W30" s="129"/>
      <c r="X30" s="129"/>
      <c r="Y30" s="130"/>
      <c r="Z30" s="128"/>
      <c r="AA30" s="129"/>
      <c r="AB30" s="129"/>
      <c r="AC30" s="129"/>
      <c r="AD30" s="130"/>
    </row>
    <row r="31" spans="1:30" s="48" customFormat="1" ht="24.75" customHeight="1" x14ac:dyDescent="0.2">
      <c r="A31" s="67">
        <v>22</v>
      </c>
      <c r="B31" s="66" t="s">
        <v>13</v>
      </c>
      <c r="C31" s="128" t="str">
        <f>Experts!F22</f>
        <v xml:space="preserve">  </v>
      </c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30"/>
      <c r="P31" s="128"/>
      <c r="Q31" s="129"/>
      <c r="R31" s="129"/>
      <c r="S31" s="129"/>
      <c r="T31" s="129"/>
      <c r="U31" s="129"/>
      <c r="V31" s="129"/>
      <c r="W31" s="129"/>
      <c r="X31" s="129"/>
      <c r="Y31" s="130"/>
      <c r="Z31" s="128"/>
      <c r="AA31" s="129"/>
      <c r="AB31" s="129"/>
      <c r="AC31" s="129"/>
      <c r="AD31" s="130"/>
    </row>
    <row r="32" spans="1:30" s="48" customFormat="1" ht="24.75" customHeight="1" x14ac:dyDescent="0.2">
      <c r="A32" s="67">
        <v>23</v>
      </c>
      <c r="B32" s="66" t="s">
        <v>13</v>
      </c>
      <c r="C32" s="128" t="str">
        <f>Experts!F23</f>
        <v xml:space="preserve">  </v>
      </c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30"/>
      <c r="P32" s="128"/>
      <c r="Q32" s="129"/>
      <c r="R32" s="129"/>
      <c r="S32" s="129"/>
      <c r="T32" s="129"/>
      <c r="U32" s="129"/>
      <c r="V32" s="129"/>
      <c r="W32" s="129"/>
      <c r="X32" s="129"/>
      <c r="Y32" s="130"/>
      <c r="Z32" s="128"/>
      <c r="AA32" s="129"/>
      <c r="AB32" s="129"/>
      <c r="AC32" s="129"/>
      <c r="AD32" s="130"/>
    </row>
    <row r="33" spans="1:30" s="48" customFormat="1" ht="24.75" customHeight="1" x14ac:dyDescent="0.2">
      <c r="A33" s="67">
        <v>24</v>
      </c>
      <c r="B33" s="66" t="s">
        <v>13</v>
      </c>
      <c r="C33" s="128" t="str">
        <f>Experts!F24</f>
        <v xml:space="preserve">  </v>
      </c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30"/>
      <c r="P33" s="128"/>
      <c r="Q33" s="129"/>
      <c r="R33" s="129"/>
      <c r="S33" s="129"/>
      <c r="T33" s="129"/>
      <c r="U33" s="129"/>
      <c r="V33" s="129"/>
      <c r="W33" s="129"/>
      <c r="X33" s="129"/>
      <c r="Y33" s="130"/>
      <c r="Z33" s="128"/>
      <c r="AA33" s="129"/>
      <c r="AB33" s="129"/>
      <c r="AC33" s="129"/>
      <c r="AD33" s="130"/>
    </row>
    <row r="34" spans="1:30" s="48" customFormat="1" ht="24.75" customHeight="1" x14ac:dyDescent="0.2">
      <c r="A34" s="67">
        <v>25</v>
      </c>
      <c r="B34" s="66" t="s">
        <v>13</v>
      </c>
      <c r="C34" s="128" t="str">
        <f>Experts!F25</f>
        <v xml:space="preserve">  </v>
      </c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30"/>
      <c r="P34" s="128"/>
      <c r="Q34" s="129"/>
      <c r="R34" s="129"/>
      <c r="S34" s="129"/>
      <c r="T34" s="129"/>
      <c r="U34" s="129"/>
      <c r="V34" s="129"/>
      <c r="W34" s="129"/>
      <c r="X34" s="129"/>
      <c r="Y34" s="130"/>
      <c r="Z34" s="128"/>
      <c r="AA34" s="129"/>
      <c r="AB34" s="129"/>
      <c r="AC34" s="129"/>
      <c r="AD34" s="130"/>
    </row>
    <row r="35" spans="1:30" x14ac:dyDescent="0.15">
      <c r="A35" s="68"/>
    </row>
    <row r="36" spans="1:30" x14ac:dyDescent="0.15">
      <c r="A36" s="134" t="s">
        <v>14</v>
      </c>
      <c r="B36" s="134"/>
      <c r="C36" s="134"/>
      <c r="D36" s="134"/>
      <c r="E36" s="133">
        <f>Чемп!B7</f>
        <v>44432</v>
      </c>
      <c r="F36" s="133"/>
      <c r="G36" s="133"/>
      <c r="H36" s="133"/>
      <c r="I36" s="133"/>
      <c r="J36" s="133"/>
      <c r="K36" s="133"/>
      <c r="L36" s="133"/>
      <c r="M36" s="65"/>
      <c r="N36" s="65"/>
      <c r="O36" s="65"/>
      <c r="R36" s="134" t="s">
        <v>107</v>
      </c>
      <c r="S36" s="134"/>
      <c r="T36" s="134"/>
      <c r="U36" s="134"/>
      <c r="V36" s="134"/>
      <c r="W36" s="134"/>
      <c r="X36" s="134"/>
      <c r="Y36" s="135"/>
      <c r="Z36" s="135"/>
      <c r="AA36" s="135"/>
      <c r="AB36" s="135"/>
      <c r="AC36" s="135"/>
      <c r="AD36" s="135"/>
    </row>
    <row r="37" spans="1:30" x14ac:dyDescent="0.15">
      <c r="Y37" s="131" t="s">
        <v>16</v>
      </c>
      <c r="Z37" s="131"/>
      <c r="AA37" s="131"/>
      <c r="AB37" s="131"/>
      <c r="AC37" s="131"/>
      <c r="AD37" s="131"/>
    </row>
  </sheetData>
  <sheetProtection formatCells="0" formatColumns="0" formatRows="0"/>
  <mergeCells count="91">
    <mergeCell ref="Y37:AD37"/>
    <mergeCell ref="B7:AC7"/>
    <mergeCell ref="E36:L36"/>
    <mergeCell ref="A36:D36"/>
    <mergeCell ref="R36:X36"/>
    <mergeCell ref="Y36:AD36"/>
    <mergeCell ref="C33:O33"/>
    <mergeCell ref="P33:Y33"/>
    <mergeCell ref="Z33:AD33"/>
    <mergeCell ref="C34:O34"/>
    <mergeCell ref="P34:Y34"/>
    <mergeCell ref="Z34:AD34"/>
    <mergeCell ref="C31:O31"/>
    <mergeCell ref="P31:Y31"/>
    <mergeCell ref="Z31:AD31"/>
    <mergeCell ref="C32:O32"/>
    <mergeCell ref="C28:O28"/>
    <mergeCell ref="P28:Y28"/>
    <mergeCell ref="Z28:AD28"/>
    <mergeCell ref="P32:Y32"/>
    <mergeCell ref="Z32:AD32"/>
    <mergeCell ref="C29:O29"/>
    <mergeCell ref="P29:Y29"/>
    <mergeCell ref="Z29:AD29"/>
    <mergeCell ref="C30:O30"/>
    <mergeCell ref="P30:Y30"/>
    <mergeCell ref="Z30:AD30"/>
    <mergeCell ref="C26:O26"/>
    <mergeCell ref="P26:Y26"/>
    <mergeCell ref="Z26:AD26"/>
    <mergeCell ref="C27:O27"/>
    <mergeCell ref="P27:Y27"/>
    <mergeCell ref="Z27:AD27"/>
    <mergeCell ref="C24:O24"/>
    <mergeCell ref="P24:Y24"/>
    <mergeCell ref="Z24:AD24"/>
    <mergeCell ref="C25:O25"/>
    <mergeCell ref="P25:Y25"/>
    <mergeCell ref="Z25:AD25"/>
    <mergeCell ref="C22:O22"/>
    <mergeCell ref="P22:Y22"/>
    <mergeCell ref="Z22:AD22"/>
    <mergeCell ref="C23:O23"/>
    <mergeCell ref="P23:Y23"/>
    <mergeCell ref="Z23:AD23"/>
    <mergeCell ref="C20:O20"/>
    <mergeCell ref="P20:Y20"/>
    <mergeCell ref="Z20:AD20"/>
    <mergeCell ref="C21:O21"/>
    <mergeCell ref="P21:Y21"/>
    <mergeCell ref="Z21:AD21"/>
    <mergeCell ref="C18:O18"/>
    <mergeCell ref="P18:Y18"/>
    <mergeCell ref="Z18:AD18"/>
    <mergeCell ref="C19:O19"/>
    <mergeCell ref="P19:Y19"/>
    <mergeCell ref="Z19:AD19"/>
    <mergeCell ref="C16:O16"/>
    <mergeCell ref="P16:Y16"/>
    <mergeCell ref="Z16:AD16"/>
    <mergeCell ref="C17:O17"/>
    <mergeCell ref="P17:Y17"/>
    <mergeCell ref="Z17:AD17"/>
    <mergeCell ref="C14:O14"/>
    <mergeCell ref="P14:Y14"/>
    <mergeCell ref="Z14:AD14"/>
    <mergeCell ref="C15:O15"/>
    <mergeCell ref="P15:Y15"/>
    <mergeCell ref="Z15:AD15"/>
    <mergeCell ref="C12:O12"/>
    <mergeCell ref="P12:Y12"/>
    <mergeCell ref="Z12:AD12"/>
    <mergeCell ref="C13:O13"/>
    <mergeCell ref="P13:Y13"/>
    <mergeCell ref="Z13:AD13"/>
    <mergeCell ref="C10:O10"/>
    <mergeCell ref="P10:Y10"/>
    <mergeCell ref="Z10:AD10"/>
    <mergeCell ref="C11:O11"/>
    <mergeCell ref="P11:Y11"/>
    <mergeCell ref="Z11:AD11"/>
    <mergeCell ref="A6:L6"/>
    <mergeCell ref="A9:B9"/>
    <mergeCell ref="C9:O9"/>
    <mergeCell ref="P9:Y9"/>
    <mergeCell ref="Z9:AD9"/>
    <mergeCell ref="A2:AD2"/>
    <mergeCell ref="A3:AD3"/>
    <mergeCell ref="A4:I4"/>
    <mergeCell ref="J4:AD4"/>
    <mergeCell ref="A5:I5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9"/>
  <dimension ref="A1:AK33"/>
  <sheetViews>
    <sheetView view="pageBreakPreview" zoomScale="80" zoomScaleNormal="100" zoomScaleSheetLayoutView="80" workbookViewId="0">
      <selection activeCell="R32" sqref="R32:X32"/>
    </sheetView>
  </sheetViews>
  <sheetFormatPr defaultColWidth="9.14453125" defaultRowHeight="13.5" x14ac:dyDescent="0.15"/>
  <cols>
    <col min="1" max="1" width="4.3046875" style="28" customWidth="1"/>
    <col min="2" max="2" width="1.4765625" style="28" customWidth="1"/>
    <col min="3" max="6" width="3.09375" style="28" customWidth="1"/>
    <col min="7" max="7" width="1.4765625" style="28" customWidth="1"/>
    <col min="8" max="11" width="3.09375" style="28" customWidth="1"/>
    <col min="12" max="12" width="1.61328125" style="28" customWidth="1"/>
    <col min="13" max="13" width="2.82421875" style="28" customWidth="1"/>
    <col min="14" max="25" width="3.09375" style="28" customWidth="1"/>
    <col min="26" max="28" width="4.16796875" style="28" customWidth="1"/>
    <col min="29" max="29" width="4.03515625" style="28" customWidth="1"/>
    <col min="30" max="30" width="3.2265625" style="28" customWidth="1"/>
    <col min="31" max="31" width="2.41796875" style="28" customWidth="1"/>
    <col min="32" max="34" width="3.09375" style="28" customWidth="1"/>
    <col min="35" max="16384" width="9.14453125" style="28"/>
  </cols>
  <sheetData>
    <row r="1" spans="1:37" ht="28.35" customHeight="1" x14ac:dyDescent="0.15"/>
    <row r="2" spans="1:37" ht="18" x14ac:dyDescent="0.2">
      <c r="A2" s="121" t="s">
        <v>84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34"/>
    </row>
    <row r="3" spans="1:37" ht="19.5" customHeight="1" x14ac:dyDescent="0.15">
      <c r="A3" s="122" t="s">
        <v>88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</row>
    <row r="4" spans="1:37" ht="45.6" customHeight="1" x14ac:dyDescent="0.15">
      <c r="A4" s="123" t="s">
        <v>3</v>
      </c>
      <c r="B4" s="123"/>
      <c r="C4" s="123"/>
      <c r="D4" s="123"/>
      <c r="E4" s="123"/>
      <c r="F4" s="123"/>
      <c r="G4" s="123"/>
      <c r="H4" s="123"/>
      <c r="I4" s="123"/>
      <c r="J4" s="124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"/>
    </row>
    <row r="5" spans="1:37" ht="24.75" customHeight="1" x14ac:dyDescent="0.15">
      <c r="A5" s="123" t="s">
        <v>6</v>
      </c>
      <c r="B5" s="123"/>
      <c r="C5" s="123"/>
      <c r="D5" s="123"/>
      <c r="E5" s="123"/>
      <c r="F5" s="123"/>
      <c r="G5" s="123"/>
      <c r="H5" s="123"/>
      <c r="I5" s="123"/>
      <c r="J5" s="11" t="str">
        <f>CONCATENATE(Чемп!B4," ",Чемп!C4)</f>
        <v>№ (заполнить) Название (заполнить)</v>
      </c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</row>
    <row r="6" spans="1:37" ht="21.75" customHeight="1" x14ac:dyDescent="0.15">
      <c r="A6" s="123" t="s">
        <v>106</v>
      </c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1" t="str">
        <f>CONCATENATE(Experts!B1," ",Experts!C1," ",Experts!D1)</f>
        <v>Фамилия Имя Отчество</v>
      </c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7" ht="21.75" customHeight="1" x14ac:dyDescent="0.15">
      <c r="A7" s="123" t="s">
        <v>19</v>
      </c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40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3"/>
      <c r="AB7" s="13"/>
      <c r="AC7" s="13"/>
      <c r="AD7" s="13"/>
      <c r="AE7" s="13"/>
      <c r="AK7" s="28">
        <v>3</v>
      </c>
    </row>
    <row r="8" spans="1:37" ht="60.75" customHeight="1" x14ac:dyDescent="0.15">
      <c r="A8" s="138" t="s">
        <v>27</v>
      </c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</row>
    <row r="9" spans="1:37" s="58" customFormat="1" ht="39.75" customHeight="1" x14ac:dyDescent="0.15">
      <c r="A9" s="136" t="s">
        <v>9</v>
      </c>
      <c r="B9" s="136"/>
      <c r="C9" s="142" t="s">
        <v>20</v>
      </c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4"/>
      <c r="Z9" s="137" t="s">
        <v>12</v>
      </c>
      <c r="AA9" s="137"/>
      <c r="AB9" s="137"/>
      <c r="AC9" s="137"/>
      <c r="AD9" s="137"/>
    </row>
    <row r="10" spans="1:37" s="58" customFormat="1" ht="18.75" customHeight="1" x14ac:dyDescent="0.15">
      <c r="A10" s="69">
        <v>1</v>
      </c>
      <c r="B10" s="70" t="s">
        <v>13</v>
      </c>
      <c r="C10" s="107" t="str">
        <f>Experts!F1</f>
        <v>Фамилия Имя Отчество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9"/>
      <c r="Z10" s="110"/>
      <c r="AA10" s="111"/>
      <c r="AB10" s="111"/>
      <c r="AC10" s="111"/>
      <c r="AD10" s="112"/>
    </row>
    <row r="11" spans="1:37" s="58" customFormat="1" ht="18.75" customHeight="1" x14ac:dyDescent="0.15">
      <c r="A11" s="69">
        <v>2</v>
      </c>
      <c r="B11" s="70" t="s">
        <v>13</v>
      </c>
      <c r="C11" s="107" t="str">
        <f>Experts!F2</f>
        <v>Фамилия Имя Отчество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9"/>
      <c r="Z11" s="110"/>
      <c r="AA11" s="111"/>
      <c r="AB11" s="111"/>
      <c r="AC11" s="111"/>
      <c r="AD11" s="112"/>
    </row>
    <row r="12" spans="1:37" s="58" customFormat="1" ht="18.75" customHeight="1" x14ac:dyDescent="0.15">
      <c r="A12" s="69">
        <v>3</v>
      </c>
      <c r="B12" s="70" t="s">
        <v>13</v>
      </c>
      <c r="C12" s="107" t="str">
        <f>Experts!F3</f>
        <v>Фамилия Имя Отчество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9"/>
      <c r="Z12" s="110"/>
      <c r="AA12" s="111"/>
      <c r="AB12" s="111"/>
      <c r="AC12" s="111"/>
      <c r="AD12" s="112"/>
    </row>
    <row r="13" spans="1:37" s="58" customFormat="1" ht="18.75" customHeight="1" x14ac:dyDescent="0.15">
      <c r="A13" s="69">
        <v>4</v>
      </c>
      <c r="B13" s="70" t="s">
        <v>13</v>
      </c>
      <c r="C13" s="107" t="str">
        <f>Experts!F4</f>
        <v>Фамилия Имя Отчество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9"/>
      <c r="Z13" s="110"/>
      <c r="AA13" s="111"/>
      <c r="AB13" s="111"/>
      <c r="AC13" s="111"/>
      <c r="AD13" s="112"/>
    </row>
    <row r="14" spans="1:37" s="58" customFormat="1" ht="18.75" customHeight="1" x14ac:dyDescent="0.15">
      <c r="A14" s="69">
        <v>5</v>
      </c>
      <c r="B14" s="70" t="s">
        <v>13</v>
      </c>
      <c r="C14" s="107" t="str">
        <f>Experts!F5</f>
        <v>Фамилия Имя Отчество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9"/>
      <c r="Z14" s="110"/>
      <c r="AA14" s="111"/>
      <c r="AB14" s="111"/>
      <c r="AC14" s="111"/>
      <c r="AD14" s="112"/>
    </row>
    <row r="15" spans="1:37" s="58" customFormat="1" ht="18.75" customHeight="1" x14ac:dyDescent="0.15">
      <c r="A15" s="69">
        <v>6</v>
      </c>
      <c r="B15" s="70" t="s">
        <v>13</v>
      </c>
      <c r="C15" s="107" t="str">
        <f>Experts!F6</f>
        <v>Фамилия Имя Отчество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9"/>
      <c r="Z15" s="110"/>
      <c r="AA15" s="111"/>
      <c r="AB15" s="111"/>
      <c r="AC15" s="111"/>
      <c r="AD15" s="112"/>
    </row>
    <row r="16" spans="1:37" s="58" customFormat="1" ht="18.75" customHeight="1" x14ac:dyDescent="0.15">
      <c r="A16" s="69">
        <v>7</v>
      </c>
      <c r="B16" s="70" t="s">
        <v>13</v>
      </c>
      <c r="C16" s="107" t="str">
        <f>Experts!F7</f>
        <v>Фамилия Имя Отчество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9"/>
      <c r="Z16" s="110"/>
      <c r="AA16" s="111"/>
      <c r="AB16" s="111"/>
      <c r="AC16" s="111"/>
      <c r="AD16" s="112"/>
    </row>
    <row r="17" spans="1:30" s="58" customFormat="1" ht="18.75" customHeight="1" x14ac:dyDescent="0.15">
      <c r="A17" s="69">
        <v>8</v>
      </c>
      <c r="B17" s="70" t="s">
        <v>13</v>
      </c>
      <c r="C17" s="107" t="str">
        <f>Experts!F8</f>
        <v>Фамилия Имя Отчество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9"/>
      <c r="Z17" s="110"/>
      <c r="AA17" s="111"/>
      <c r="AB17" s="111"/>
      <c r="AC17" s="111"/>
      <c r="AD17" s="112"/>
    </row>
    <row r="18" spans="1:30" s="58" customFormat="1" ht="18.75" customHeight="1" x14ac:dyDescent="0.15">
      <c r="A18" s="69">
        <v>9</v>
      </c>
      <c r="B18" s="70" t="s">
        <v>13</v>
      </c>
      <c r="C18" s="107" t="str">
        <f>Experts!F9</f>
        <v>Фамилия Имя Отчество</v>
      </c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9"/>
      <c r="Z18" s="110"/>
      <c r="AA18" s="111"/>
      <c r="AB18" s="111"/>
      <c r="AC18" s="111"/>
      <c r="AD18" s="112"/>
    </row>
    <row r="19" spans="1:30" s="58" customFormat="1" ht="18.75" customHeight="1" x14ac:dyDescent="0.15">
      <c r="A19" s="69">
        <v>10</v>
      </c>
      <c r="B19" s="70" t="s">
        <v>13</v>
      </c>
      <c r="C19" s="107" t="str">
        <f>Experts!F10</f>
        <v>Фамилия Имя Отчество</v>
      </c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9"/>
      <c r="Z19" s="110"/>
      <c r="AA19" s="111"/>
      <c r="AB19" s="111"/>
      <c r="AC19" s="111"/>
      <c r="AD19" s="112"/>
    </row>
    <row r="20" spans="1:30" s="58" customFormat="1" ht="18.75" customHeight="1" x14ac:dyDescent="0.15">
      <c r="A20" s="69">
        <v>15</v>
      </c>
      <c r="B20" s="70" t="s">
        <v>13</v>
      </c>
      <c r="C20" s="107" t="str">
        <f>Experts!F11</f>
        <v xml:space="preserve">  </v>
      </c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9"/>
      <c r="Z20" s="110"/>
      <c r="AA20" s="111"/>
      <c r="AB20" s="111"/>
      <c r="AC20" s="111"/>
      <c r="AD20" s="112"/>
    </row>
    <row r="21" spans="1:30" s="58" customFormat="1" ht="18.75" customHeight="1" x14ac:dyDescent="0.15">
      <c r="A21" s="69">
        <v>16</v>
      </c>
      <c r="B21" s="70" t="s">
        <v>13</v>
      </c>
      <c r="C21" s="107" t="str">
        <f>Experts!F16</f>
        <v xml:space="preserve">  </v>
      </c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9"/>
      <c r="Z21" s="110"/>
      <c r="AA21" s="111"/>
      <c r="AB21" s="111"/>
      <c r="AC21" s="111"/>
      <c r="AD21" s="112"/>
    </row>
    <row r="22" spans="1:30" s="58" customFormat="1" ht="18.75" customHeight="1" x14ac:dyDescent="0.15">
      <c r="A22" s="69">
        <v>17</v>
      </c>
      <c r="B22" s="70" t="s">
        <v>13</v>
      </c>
      <c r="C22" s="107" t="str">
        <f>Experts!F17</f>
        <v xml:space="preserve">  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9"/>
      <c r="Z22" s="110"/>
      <c r="AA22" s="111"/>
      <c r="AB22" s="111"/>
      <c r="AC22" s="111"/>
      <c r="AD22" s="112"/>
    </row>
    <row r="23" spans="1:30" s="58" customFormat="1" ht="18.75" customHeight="1" x14ac:dyDescent="0.15">
      <c r="A23" s="69">
        <v>18</v>
      </c>
      <c r="B23" s="70" t="s">
        <v>13</v>
      </c>
      <c r="C23" s="107" t="str">
        <f>Experts!F18</f>
        <v xml:space="preserve">  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9"/>
      <c r="Z23" s="110"/>
      <c r="AA23" s="111"/>
      <c r="AB23" s="111"/>
      <c r="AC23" s="111"/>
      <c r="AD23" s="112"/>
    </row>
    <row r="24" spans="1:30" s="58" customFormat="1" ht="18.75" customHeight="1" x14ac:dyDescent="0.15">
      <c r="A24" s="69">
        <v>19</v>
      </c>
      <c r="B24" s="70" t="s">
        <v>13</v>
      </c>
      <c r="C24" s="107" t="str">
        <f>Experts!F19</f>
        <v xml:space="preserve">  </v>
      </c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9"/>
      <c r="Z24" s="110"/>
      <c r="AA24" s="111"/>
      <c r="AB24" s="111"/>
      <c r="AC24" s="111"/>
      <c r="AD24" s="112"/>
    </row>
    <row r="25" spans="1:30" s="58" customFormat="1" ht="18.75" customHeight="1" x14ac:dyDescent="0.15">
      <c r="A25" s="69">
        <v>20</v>
      </c>
      <c r="B25" s="70" t="s">
        <v>13</v>
      </c>
      <c r="C25" s="107" t="str">
        <f>Experts!F20</f>
        <v xml:space="preserve">  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9"/>
      <c r="Z25" s="110"/>
      <c r="AA25" s="111"/>
      <c r="AB25" s="111"/>
      <c r="AC25" s="111"/>
      <c r="AD25" s="112"/>
    </row>
    <row r="26" spans="1:30" s="58" customFormat="1" ht="18.75" customHeight="1" x14ac:dyDescent="0.15">
      <c r="A26" s="69">
        <v>21</v>
      </c>
      <c r="B26" s="70" t="s">
        <v>13</v>
      </c>
      <c r="C26" s="107" t="str">
        <f>Experts!F21</f>
        <v xml:space="preserve">  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9"/>
      <c r="Z26" s="110"/>
      <c r="AA26" s="111"/>
      <c r="AB26" s="111"/>
      <c r="AC26" s="111"/>
      <c r="AD26" s="112"/>
    </row>
    <row r="27" spans="1:30" s="58" customFormat="1" ht="18.75" customHeight="1" x14ac:dyDescent="0.15">
      <c r="A27" s="69">
        <v>22</v>
      </c>
      <c r="B27" s="70" t="s">
        <v>13</v>
      </c>
      <c r="C27" s="107" t="str">
        <f>Experts!F22</f>
        <v xml:space="preserve">  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9"/>
      <c r="Z27" s="110"/>
      <c r="AA27" s="111"/>
      <c r="AB27" s="111"/>
      <c r="AC27" s="111"/>
      <c r="AD27" s="112"/>
    </row>
    <row r="28" spans="1:30" s="58" customFormat="1" ht="18.75" customHeight="1" x14ac:dyDescent="0.15">
      <c r="A28" s="69">
        <v>23</v>
      </c>
      <c r="B28" s="70" t="s">
        <v>13</v>
      </c>
      <c r="C28" s="107" t="str">
        <f>Experts!F23</f>
        <v xml:space="preserve">  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9"/>
      <c r="Z28" s="110"/>
      <c r="AA28" s="111"/>
      <c r="AB28" s="111"/>
      <c r="AC28" s="111"/>
      <c r="AD28" s="112"/>
    </row>
    <row r="29" spans="1:30" s="58" customFormat="1" ht="18.75" customHeight="1" x14ac:dyDescent="0.15">
      <c r="A29" s="69">
        <v>24</v>
      </c>
      <c r="B29" s="70" t="s">
        <v>13</v>
      </c>
      <c r="C29" s="107" t="str">
        <f>Experts!F24</f>
        <v xml:space="preserve">  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9"/>
      <c r="Z29" s="110"/>
      <c r="AA29" s="111"/>
      <c r="AB29" s="111"/>
      <c r="AC29" s="111"/>
      <c r="AD29" s="112"/>
    </row>
    <row r="30" spans="1:30" s="58" customFormat="1" ht="18.75" customHeight="1" x14ac:dyDescent="0.15">
      <c r="A30" s="69">
        <v>25</v>
      </c>
      <c r="B30" s="70" t="s">
        <v>13</v>
      </c>
      <c r="C30" s="107" t="str">
        <f>Experts!F25</f>
        <v xml:space="preserve">  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9"/>
      <c r="Z30" s="110"/>
      <c r="AA30" s="111"/>
      <c r="AB30" s="111"/>
      <c r="AC30" s="111"/>
      <c r="AD30" s="112"/>
    </row>
    <row r="31" spans="1:30" s="58" customFormat="1" ht="14.25" x14ac:dyDescent="0.15"/>
    <row r="32" spans="1:30" x14ac:dyDescent="0.15">
      <c r="A32" s="145" t="s">
        <v>14</v>
      </c>
      <c r="B32" s="145"/>
      <c r="C32" s="145"/>
      <c r="D32" s="145"/>
      <c r="E32" s="146">
        <f>Чемп!B7</f>
        <v>44432</v>
      </c>
      <c r="F32" s="146"/>
      <c r="G32" s="146"/>
      <c r="H32" s="146"/>
      <c r="I32" s="146"/>
      <c r="J32" s="146"/>
      <c r="K32" s="146"/>
      <c r="L32" s="37"/>
      <c r="M32" s="37"/>
      <c r="N32" s="37"/>
      <c r="O32" s="38"/>
      <c r="R32" s="116" t="s">
        <v>107</v>
      </c>
      <c r="S32" s="116"/>
      <c r="T32" s="116"/>
      <c r="U32" s="116"/>
      <c r="V32" s="116"/>
      <c r="W32" s="116"/>
      <c r="X32" s="116"/>
      <c r="Y32" s="114"/>
      <c r="Z32" s="114"/>
      <c r="AA32" s="114"/>
      <c r="AB32" s="114"/>
      <c r="AC32" s="114"/>
      <c r="AD32" s="114"/>
    </row>
    <row r="33" spans="25:30" x14ac:dyDescent="0.15">
      <c r="Y33" s="139" t="s">
        <v>16</v>
      </c>
      <c r="Z33" s="139"/>
      <c r="AA33" s="139"/>
      <c r="AB33" s="139"/>
      <c r="AC33" s="139"/>
      <c r="AD33" s="139"/>
    </row>
  </sheetData>
  <sheetProtection formatCells="0" formatColumns="0" formatRows="0"/>
  <mergeCells count="59">
    <mergeCell ref="Y33:AD33"/>
    <mergeCell ref="M7:Z7"/>
    <mergeCell ref="C9:Y9"/>
    <mergeCell ref="C10:Y10"/>
    <mergeCell ref="C11:Y11"/>
    <mergeCell ref="C12:Y12"/>
    <mergeCell ref="C13:Y13"/>
    <mergeCell ref="C14:Y14"/>
    <mergeCell ref="A32:D32"/>
    <mergeCell ref="R32:X32"/>
    <mergeCell ref="Y32:AD32"/>
    <mergeCell ref="E32:K32"/>
    <mergeCell ref="Z29:AD29"/>
    <mergeCell ref="Z30:AD30"/>
    <mergeCell ref="C29:Y29"/>
    <mergeCell ref="C30:Y30"/>
    <mergeCell ref="Z27:AD27"/>
    <mergeCell ref="Z28:AD28"/>
    <mergeCell ref="C27:Y27"/>
    <mergeCell ref="C28:Y28"/>
    <mergeCell ref="Z25:AD25"/>
    <mergeCell ref="Z26:AD26"/>
    <mergeCell ref="C25:Y25"/>
    <mergeCell ref="C26:Y26"/>
    <mergeCell ref="Z23:AD23"/>
    <mergeCell ref="Z24:AD24"/>
    <mergeCell ref="C23:Y23"/>
    <mergeCell ref="C24:Y24"/>
    <mergeCell ref="Z21:AD21"/>
    <mergeCell ref="Z22:AD22"/>
    <mergeCell ref="C21:Y21"/>
    <mergeCell ref="C22:Y22"/>
    <mergeCell ref="Z19:AD19"/>
    <mergeCell ref="Z20:AD20"/>
    <mergeCell ref="C19:Y19"/>
    <mergeCell ref="C20:Y20"/>
    <mergeCell ref="Z17:AD17"/>
    <mergeCell ref="Z18:AD18"/>
    <mergeCell ref="C17:Y17"/>
    <mergeCell ref="C18:Y18"/>
    <mergeCell ref="Z15:AD15"/>
    <mergeCell ref="Z16:AD16"/>
    <mergeCell ref="C15:Y15"/>
    <mergeCell ref="C16:Y16"/>
    <mergeCell ref="Z13:AD13"/>
    <mergeCell ref="Z14:AD14"/>
    <mergeCell ref="Z11:AD11"/>
    <mergeCell ref="Z12:AD12"/>
    <mergeCell ref="A7:L7"/>
    <mergeCell ref="A9:B9"/>
    <mergeCell ref="Z9:AD9"/>
    <mergeCell ref="Z10:AD10"/>
    <mergeCell ref="A8:AD8"/>
    <mergeCell ref="A6:L6"/>
    <mergeCell ref="A2:AD2"/>
    <mergeCell ref="A3:AD3"/>
    <mergeCell ref="A4:I4"/>
    <mergeCell ref="J4:AD4"/>
    <mergeCell ref="A5:I5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AF36"/>
  <sheetViews>
    <sheetView view="pageBreakPreview" zoomScale="80" zoomScaleNormal="100" zoomScaleSheetLayoutView="80" workbookViewId="0">
      <selection activeCell="S35" sqref="S35:Y35"/>
    </sheetView>
  </sheetViews>
  <sheetFormatPr defaultColWidth="9.14453125" defaultRowHeight="14.25" x14ac:dyDescent="0.15"/>
  <cols>
    <col min="1" max="1" width="28.515625" style="58" customWidth="1"/>
    <col min="2" max="2" width="4.5703125" style="58" customWidth="1"/>
    <col min="3" max="3" width="3.765625" style="58" customWidth="1"/>
    <col min="4" max="4" width="3.09375" style="58" customWidth="1"/>
    <col min="5" max="5" width="5.37890625" style="58" customWidth="1"/>
    <col min="6" max="6" width="3.09375" style="58" customWidth="1"/>
    <col min="7" max="7" width="2.5546875" style="58" customWidth="1"/>
    <col min="8" max="8" width="1.4765625" style="58" customWidth="1"/>
    <col min="9" max="9" width="3.09375" style="58" customWidth="1"/>
    <col min="10" max="10" width="4.5703125" style="58" customWidth="1"/>
    <col min="11" max="12" width="3.09375" style="58" customWidth="1"/>
    <col min="13" max="13" width="2.5546875" style="58" customWidth="1"/>
    <col min="14" max="14" width="2.82421875" style="58" customWidth="1"/>
    <col min="15" max="16" width="3.09375" style="58" customWidth="1"/>
    <col min="17" max="18" width="2.41796875" style="58" customWidth="1"/>
    <col min="19" max="19" width="2.015625" style="58" customWidth="1"/>
    <col min="20" max="21" width="3.09375" style="58" customWidth="1"/>
    <col min="22" max="22" width="2.15234375" style="58" customWidth="1"/>
    <col min="23" max="23" width="2.41796875" style="58" customWidth="1"/>
    <col min="24" max="24" width="4.4375" style="58" customWidth="1"/>
    <col min="25" max="26" width="2.41796875" style="58" customWidth="1"/>
    <col min="27" max="29" width="4.16796875" style="58" customWidth="1"/>
    <col min="30" max="30" width="3.359375" style="58" customWidth="1"/>
    <col min="31" max="32" width="2.41796875" style="58" customWidth="1"/>
    <col min="33" max="35" width="3.09375" style="58" customWidth="1"/>
    <col min="36" max="16384" width="9.14453125" style="58"/>
  </cols>
  <sheetData>
    <row r="1" spans="1:32" ht="28.35" customHeight="1" x14ac:dyDescent="0.15"/>
    <row r="2" spans="1:32" ht="38.25" customHeight="1" x14ac:dyDescent="0.2">
      <c r="C2" s="59"/>
      <c r="D2" s="153" t="s">
        <v>87</v>
      </c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59"/>
      <c r="AE2" s="59"/>
      <c r="AF2" s="59"/>
    </row>
    <row r="3" spans="1:32" ht="45.6" customHeight="1" x14ac:dyDescent="0.15">
      <c r="B3" s="123" t="s">
        <v>3</v>
      </c>
      <c r="C3" s="123"/>
      <c r="D3" s="123"/>
      <c r="E3" s="123"/>
      <c r="F3" s="123"/>
      <c r="G3" s="123"/>
      <c r="H3" s="123"/>
      <c r="I3" s="123"/>
      <c r="J3" s="123"/>
      <c r="K3" s="154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12"/>
      <c r="AF3" s="12"/>
    </row>
    <row r="4" spans="1:32" ht="18.75" customHeight="1" x14ac:dyDescent="0.15">
      <c r="B4" s="123" t="s">
        <v>6</v>
      </c>
      <c r="C4" s="123"/>
      <c r="D4" s="123"/>
      <c r="E4" s="123"/>
      <c r="F4" s="123"/>
      <c r="G4" s="123"/>
      <c r="H4" s="123"/>
      <c r="I4" s="123"/>
      <c r="J4" s="123"/>
      <c r="K4" s="11" t="str">
        <f>CONCATENATE(Чемп!B4," ",Чемп!C4)</f>
        <v>№ (заполнить) Название (заполнить)</v>
      </c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spans="1:32" ht="18" customHeight="1" x14ac:dyDescent="0.15">
      <c r="B5" s="123" t="s">
        <v>106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1" t="str">
        <f>CONCATENATE(Experts!B1," ",Experts!C1," ",Experts!D1)</f>
        <v>Фамилия Имя Отчество</v>
      </c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ht="37.5" customHeight="1" x14ac:dyDescent="0.15">
      <c r="A6" s="156" t="s">
        <v>100</v>
      </c>
      <c r="B6" s="48"/>
      <c r="C6" s="132" t="s">
        <v>49</v>
      </c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1"/>
      <c r="AF6" s="11"/>
    </row>
    <row r="7" spans="1:32" ht="11.25" customHeight="1" x14ac:dyDescent="0.15">
      <c r="A7" s="156"/>
    </row>
    <row r="8" spans="1:32" ht="31.5" customHeight="1" x14ac:dyDescent="0.15">
      <c r="A8" s="156"/>
      <c r="B8" s="127" t="s">
        <v>29</v>
      </c>
      <c r="C8" s="127"/>
      <c r="D8" s="127"/>
      <c r="E8" s="127"/>
      <c r="F8" s="127"/>
      <c r="G8" s="127"/>
      <c r="H8" s="127" t="s">
        <v>30</v>
      </c>
      <c r="I8" s="127"/>
      <c r="J8" s="127"/>
      <c r="K8" s="127"/>
      <c r="L8" s="127"/>
      <c r="M8" s="127"/>
      <c r="N8" s="127"/>
      <c r="O8" s="127" t="s">
        <v>31</v>
      </c>
      <c r="P8" s="127"/>
      <c r="Q8" s="127"/>
      <c r="R8" s="127"/>
      <c r="S8" s="127"/>
      <c r="T8" s="127"/>
      <c r="U8" s="127"/>
      <c r="V8" s="127"/>
      <c r="W8" s="127"/>
      <c r="X8" s="127"/>
      <c r="Y8" s="126" t="s">
        <v>12</v>
      </c>
      <c r="Z8" s="126"/>
      <c r="AA8" s="126"/>
      <c r="AB8" s="126"/>
      <c r="AC8" s="126"/>
    </row>
    <row r="9" spans="1:32" ht="24.75" customHeight="1" x14ac:dyDescent="0.15">
      <c r="A9" s="60">
        <v>2</v>
      </c>
      <c r="B9" s="155" t="str">
        <f t="shared" ref="B9:B10" si="0">VLOOKUP(A9,Эксперты,5)</f>
        <v>Фамилия И.О.</v>
      </c>
      <c r="C9" s="155"/>
      <c r="D9" s="155"/>
      <c r="E9" s="155"/>
      <c r="F9" s="155"/>
      <c r="G9" s="155"/>
      <c r="H9" s="152" t="s">
        <v>32</v>
      </c>
      <c r="I9" s="152"/>
      <c r="J9" s="152"/>
      <c r="K9" s="152"/>
      <c r="L9" s="152"/>
      <c r="M9" s="152"/>
      <c r="N9" s="152"/>
      <c r="O9" s="147" t="s">
        <v>33</v>
      </c>
      <c r="P9" s="148"/>
      <c r="Q9" s="148"/>
      <c r="R9" s="148"/>
      <c r="S9" s="148"/>
      <c r="T9" s="148"/>
      <c r="U9" s="148"/>
      <c r="V9" s="148"/>
      <c r="W9" s="148"/>
      <c r="X9" s="149"/>
      <c r="Y9" s="150"/>
      <c r="Z9" s="150"/>
      <c r="AA9" s="150"/>
      <c r="AB9" s="150"/>
      <c r="AC9" s="150"/>
    </row>
    <row r="10" spans="1:32" ht="18.75" customHeight="1" x14ac:dyDescent="0.15">
      <c r="A10" s="60">
        <v>1</v>
      </c>
      <c r="B10" s="155" t="str">
        <f t="shared" si="0"/>
        <v>Фамилия И.О.</v>
      </c>
      <c r="C10" s="155"/>
      <c r="D10" s="155"/>
      <c r="E10" s="155"/>
      <c r="F10" s="155"/>
      <c r="G10" s="155"/>
      <c r="H10" s="152" t="s">
        <v>34</v>
      </c>
      <c r="I10" s="152"/>
      <c r="J10" s="152"/>
      <c r="K10" s="152"/>
      <c r="L10" s="152"/>
      <c r="M10" s="152"/>
      <c r="N10" s="152"/>
      <c r="O10" s="151" t="s">
        <v>36</v>
      </c>
      <c r="P10" s="151"/>
      <c r="Q10" s="151"/>
      <c r="R10" s="151"/>
      <c r="S10" s="151"/>
      <c r="T10" s="151"/>
      <c r="U10" s="151"/>
      <c r="V10" s="151"/>
      <c r="W10" s="151"/>
      <c r="X10" s="151"/>
      <c r="Y10" s="150"/>
      <c r="Z10" s="150"/>
      <c r="AA10" s="150"/>
      <c r="AB10" s="150"/>
      <c r="AC10" s="150"/>
    </row>
    <row r="11" spans="1:32" ht="63" customHeight="1" x14ac:dyDescent="0.15">
      <c r="A11" s="60">
        <v>9</v>
      </c>
      <c r="B11" s="155" t="str">
        <f t="shared" ref="B11:B33" si="1">VLOOKUP(A11,Эксперты,5)</f>
        <v>Фамилия И.О.</v>
      </c>
      <c r="C11" s="155"/>
      <c r="D11" s="155"/>
      <c r="E11" s="155"/>
      <c r="F11" s="155"/>
      <c r="G11" s="155"/>
      <c r="H11" s="147" t="s">
        <v>35</v>
      </c>
      <c r="I11" s="148"/>
      <c r="J11" s="148"/>
      <c r="K11" s="148"/>
      <c r="L11" s="148"/>
      <c r="M11" s="148"/>
      <c r="N11" s="149"/>
      <c r="O11" s="147" t="s">
        <v>37</v>
      </c>
      <c r="P11" s="148"/>
      <c r="Q11" s="148"/>
      <c r="R11" s="148"/>
      <c r="S11" s="148"/>
      <c r="T11" s="148"/>
      <c r="U11" s="148"/>
      <c r="V11" s="148"/>
      <c r="W11" s="148"/>
      <c r="X11" s="149"/>
      <c r="Y11" s="150"/>
      <c r="Z11" s="150"/>
      <c r="AA11" s="150"/>
      <c r="AB11" s="150"/>
      <c r="AC11" s="150"/>
    </row>
    <row r="12" spans="1:32" ht="39.75" customHeight="1" x14ac:dyDescent="0.15">
      <c r="A12" s="60">
        <v>3</v>
      </c>
      <c r="B12" s="155" t="str">
        <f t="shared" si="1"/>
        <v>Фамилия И.О.</v>
      </c>
      <c r="C12" s="155"/>
      <c r="D12" s="155"/>
      <c r="E12" s="155"/>
      <c r="F12" s="155"/>
      <c r="G12" s="155"/>
      <c r="H12" s="147" t="s">
        <v>38</v>
      </c>
      <c r="I12" s="148"/>
      <c r="J12" s="148"/>
      <c r="K12" s="148"/>
      <c r="L12" s="148"/>
      <c r="M12" s="148"/>
      <c r="N12" s="149"/>
      <c r="O12" s="151" t="s">
        <v>44</v>
      </c>
      <c r="P12" s="151"/>
      <c r="Q12" s="151"/>
      <c r="R12" s="151"/>
      <c r="S12" s="151"/>
      <c r="T12" s="151"/>
      <c r="U12" s="151"/>
      <c r="V12" s="151"/>
      <c r="W12" s="151"/>
      <c r="X12" s="151"/>
      <c r="Y12" s="150"/>
      <c r="Z12" s="150"/>
      <c r="AA12" s="150"/>
      <c r="AB12" s="150"/>
      <c r="AC12" s="150"/>
    </row>
    <row r="13" spans="1:32" ht="24.75" customHeight="1" x14ac:dyDescent="0.15">
      <c r="A13" s="60">
        <v>8</v>
      </c>
      <c r="B13" s="155" t="str">
        <f t="shared" si="1"/>
        <v>Фамилия И.О.</v>
      </c>
      <c r="C13" s="155"/>
      <c r="D13" s="155"/>
      <c r="E13" s="155"/>
      <c r="F13" s="155"/>
      <c r="G13" s="155"/>
      <c r="H13" s="147" t="s">
        <v>39</v>
      </c>
      <c r="I13" s="148"/>
      <c r="J13" s="148"/>
      <c r="K13" s="148"/>
      <c r="L13" s="148"/>
      <c r="M13" s="148"/>
      <c r="N13" s="149"/>
      <c r="O13" s="151" t="s">
        <v>45</v>
      </c>
      <c r="P13" s="151"/>
      <c r="Q13" s="151"/>
      <c r="R13" s="151"/>
      <c r="S13" s="151"/>
      <c r="T13" s="151"/>
      <c r="U13" s="151"/>
      <c r="V13" s="151"/>
      <c r="W13" s="151"/>
      <c r="X13" s="151"/>
      <c r="Y13" s="150"/>
      <c r="Z13" s="150"/>
      <c r="AA13" s="150"/>
      <c r="AB13" s="150"/>
      <c r="AC13" s="150"/>
    </row>
    <row r="14" spans="1:32" ht="27.75" customHeight="1" x14ac:dyDescent="0.15">
      <c r="A14" s="60">
        <v>4</v>
      </c>
      <c r="B14" s="155" t="str">
        <f t="shared" si="1"/>
        <v>Фамилия И.О.</v>
      </c>
      <c r="C14" s="155"/>
      <c r="D14" s="155"/>
      <c r="E14" s="155"/>
      <c r="F14" s="155"/>
      <c r="G14" s="155"/>
      <c r="H14" s="147" t="s">
        <v>40</v>
      </c>
      <c r="I14" s="148"/>
      <c r="J14" s="148"/>
      <c r="K14" s="148"/>
      <c r="L14" s="148"/>
      <c r="M14" s="148"/>
      <c r="N14" s="149"/>
      <c r="O14" s="151" t="s">
        <v>46</v>
      </c>
      <c r="P14" s="151"/>
      <c r="Q14" s="151"/>
      <c r="R14" s="151"/>
      <c r="S14" s="151"/>
      <c r="T14" s="151"/>
      <c r="U14" s="151"/>
      <c r="V14" s="151"/>
      <c r="W14" s="151"/>
      <c r="X14" s="151"/>
      <c r="Y14" s="150"/>
      <c r="Z14" s="150"/>
      <c r="AA14" s="150"/>
      <c r="AB14" s="150"/>
      <c r="AC14" s="150"/>
    </row>
    <row r="15" spans="1:32" ht="74.25" customHeight="1" x14ac:dyDescent="0.15">
      <c r="A15" s="60">
        <v>1</v>
      </c>
      <c r="B15" s="155" t="str">
        <f t="shared" si="1"/>
        <v>Фамилия И.О.</v>
      </c>
      <c r="C15" s="155"/>
      <c r="D15" s="155"/>
      <c r="E15" s="155"/>
      <c r="F15" s="155"/>
      <c r="G15" s="155"/>
      <c r="H15" s="152" t="s">
        <v>41</v>
      </c>
      <c r="I15" s="152"/>
      <c r="J15" s="152"/>
      <c r="K15" s="152"/>
      <c r="L15" s="152"/>
      <c r="M15" s="152"/>
      <c r="N15" s="152"/>
      <c r="O15" s="151" t="s">
        <v>47</v>
      </c>
      <c r="P15" s="151"/>
      <c r="Q15" s="151"/>
      <c r="R15" s="151"/>
      <c r="S15" s="151"/>
      <c r="T15" s="151"/>
      <c r="U15" s="151"/>
      <c r="V15" s="151"/>
      <c r="W15" s="151"/>
      <c r="X15" s="151"/>
      <c r="Y15" s="150"/>
      <c r="Z15" s="150"/>
      <c r="AA15" s="150"/>
      <c r="AB15" s="150"/>
      <c r="AC15" s="150"/>
    </row>
    <row r="16" spans="1:32" ht="28.5" customHeight="1" x14ac:dyDescent="0.15">
      <c r="A16" s="60">
        <v>5</v>
      </c>
      <c r="B16" s="155" t="str">
        <f t="shared" si="1"/>
        <v>Фамилия И.О.</v>
      </c>
      <c r="C16" s="155"/>
      <c r="D16" s="155"/>
      <c r="E16" s="155"/>
      <c r="F16" s="155"/>
      <c r="G16" s="155"/>
      <c r="H16" s="152" t="s">
        <v>42</v>
      </c>
      <c r="I16" s="152"/>
      <c r="J16" s="152"/>
      <c r="K16" s="152"/>
      <c r="L16" s="152"/>
      <c r="M16" s="152"/>
      <c r="N16" s="152"/>
      <c r="O16" s="151" t="s">
        <v>48</v>
      </c>
      <c r="P16" s="151"/>
      <c r="Q16" s="151"/>
      <c r="R16" s="151"/>
      <c r="S16" s="151"/>
      <c r="T16" s="151"/>
      <c r="U16" s="151"/>
      <c r="V16" s="151"/>
      <c r="W16" s="151"/>
      <c r="X16" s="151"/>
      <c r="Y16" s="150"/>
      <c r="Z16" s="150"/>
      <c r="AA16" s="150"/>
      <c r="AB16" s="150"/>
      <c r="AC16" s="150"/>
    </row>
    <row r="17" spans="1:29" ht="18.75" customHeight="1" x14ac:dyDescent="0.15">
      <c r="A17" s="60">
        <v>3</v>
      </c>
      <c r="B17" s="155" t="str">
        <f t="shared" si="1"/>
        <v>Фамилия И.О.</v>
      </c>
      <c r="C17" s="155"/>
      <c r="D17" s="155"/>
      <c r="E17" s="155"/>
      <c r="F17" s="155"/>
      <c r="G17" s="155"/>
      <c r="H17" s="152" t="s">
        <v>43</v>
      </c>
      <c r="I17" s="152"/>
      <c r="J17" s="152"/>
      <c r="K17" s="152"/>
      <c r="L17" s="152"/>
      <c r="M17" s="152"/>
      <c r="N17" s="152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0"/>
      <c r="Z17" s="150"/>
      <c r="AA17" s="150"/>
      <c r="AB17" s="150"/>
      <c r="AC17" s="150"/>
    </row>
    <row r="18" spans="1:29" ht="18.75" customHeight="1" x14ac:dyDescent="0.15">
      <c r="A18" s="60">
        <v>4</v>
      </c>
      <c r="B18" s="155" t="str">
        <f t="shared" si="1"/>
        <v>Фамилия И.О.</v>
      </c>
      <c r="C18" s="155"/>
      <c r="D18" s="155"/>
      <c r="E18" s="155"/>
      <c r="F18" s="155"/>
      <c r="G18" s="155"/>
      <c r="H18" s="152" t="s">
        <v>43</v>
      </c>
      <c r="I18" s="152"/>
      <c r="J18" s="152"/>
      <c r="K18" s="152"/>
      <c r="L18" s="152"/>
      <c r="M18" s="152"/>
      <c r="N18" s="152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0"/>
      <c r="Z18" s="150"/>
      <c r="AA18" s="150"/>
      <c r="AB18" s="150"/>
      <c r="AC18" s="150"/>
    </row>
    <row r="19" spans="1:29" ht="18.75" customHeight="1" x14ac:dyDescent="0.15">
      <c r="A19" s="60">
        <v>5</v>
      </c>
      <c r="B19" s="155" t="str">
        <f t="shared" si="1"/>
        <v>Фамилия И.О.</v>
      </c>
      <c r="C19" s="155"/>
      <c r="D19" s="155"/>
      <c r="E19" s="155"/>
      <c r="F19" s="155"/>
      <c r="G19" s="155"/>
      <c r="H19" s="152" t="s">
        <v>43</v>
      </c>
      <c r="I19" s="152"/>
      <c r="J19" s="152"/>
      <c r="K19" s="152"/>
      <c r="L19" s="152"/>
      <c r="M19" s="152"/>
      <c r="N19" s="152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0"/>
      <c r="Z19" s="150"/>
      <c r="AA19" s="150"/>
      <c r="AB19" s="150"/>
      <c r="AC19" s="150"/>
    </row>
    <row r="20" spans="1:29" ht="18.600000000000001" customHeight="1" x14ac:dyDescent="0.15">
      <c r="A20" s="60">
        <v>6</v>
      </c>
      <c r="B20" s="155" t="str">
        <f t="shared" si="1"/>
        <v>Фамилия И.О.</v>
      </c>
      <c r="C20" s="155"/>
      <c r="D20" s="155"/>
      <c r="E20" s="155"/>
      <c r="F20" s="155"/>
      <c r="G20" s="155"/>
      <c r="H20" s="152" t="s">
        <v>43</v>
      </c>
      <c r="I20" s="152"/>
      <c r="J20" s="152"/>
      <c r="K20" s="152"/>
      <c r="L20" s="152"/>
      <c r="M20" s="152"/>
      <c r="N20" s="152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0"/>
      <c r="Z20" s="150"/>
      <c r="AA20" s="150"/>
      <c r="AB20" s="150"/>
      <c r="AC20" s="150"/>
    </row>
    <row r="21" spans="1:29" ht="18.75" customHeight="1" x14ac:dyDescent="0.15">
      <c r="A21" s="60">
        <v>7</v>
      </c>
      <c r="B21" s="155" t="str">
        <f t="shared" si="1"/>
        <v>Фамилия И.О.</v>
      </c>
      <c r="C21" s="155"/>
      <c r="D21" s="155"/>
      <c r="E21" s="155"/>
      <c r="F21" s="155"/>
      <c r="G21" s="155"/>
      <c r="H21" s="152" t="s">
        <v>43</v>
      </c>
      <c r="I21" s="152"/>
      <c r="J21" s="152"/>
      <c r="K21" s="152"/>
      <c r="L21" s="152"/>
      <c r="M21" s="152"/>
      <c r="N21" s="152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0"/>
      <c r="Z21" s="150"/>
      <c r="AA21" s="150"/>
      <c r="AB21" s="150"/>
      <c r="AC21" s="150"/>
    </row>
    <row r="22" spans="1:29" ht="18.75" customHeight="1" x14ac:dyDescent="0.15">
      <c r="A22" s="60">
        <v>8</v>
      </c>
      <c r="B22" s="155" t="str">
        <f t="shared" si="1"/>
        <v>Фамилия И.О.</v>
      </c>
      <c r="C22" s="155"/>
      <c r="D22" s="155"/>
      <c r="E22" s="155"/>
      <c r="F22" s="155"/>
      <c r="G22" s="155"/>
      <c r="H22" s="152" t="s">
        <v>43</v>
      </c>
      <c r="I22" s="152"/>
      <c r="J22" s="152"/>
      <c r="K22" s="152"/>
      <c r="L22" s="152"/>
      <c r="M22" s="152"/>
      <c r="N22" s="152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0"/>
      <c r="Z22" s="150"/>
      <c r="AA22" s="150"/>
      <c r="AB22" s="150"/>
      <c r="AC22" s="150"/>
    </row>
    <row r="23" spans="1:29" ht="18.75" customHeight="1" x14ac:dyDescent="0.15">
      <c r="A23" s="60">
        <v>9</v>
      </c>
      <c r="B23" s="155" t="str">
        <f t="shared" si="1"/>
        <v>Фамилия И.О.</v>
      </c>
      <c r="C23" s="155"/>
      <c r="D23" s="155"/>
      <c r="E23" s="155"/>
      <c r="F23" s="155"/>
      <c r="G23" s="155"/>
      <c r="H23" s="152" t="s">
        <v>43</v>
      </c>
      <c r="I23" s="152"/>
      <c r="J23" s="152"/>
      <c r="K23" s="152"/>
      <c r="L23" s="152"/>
      <c r="M23" s="152"/>
      <c r="N23" s="152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0"/>
      <c r="Z23" s="150"/>
      <c r="AA23" s="150"/>
      <c r="AB23" s="150"/>
      <c r="AC23" s="150"/>
    </row>
    <row r="24" spans="1:29" ht="18.75" customHeight="1" x14ac:dyDescent="0.15">
      <c r="A24" s="60">
        <v>10</v>
      </c>
      <c r="B24" s="155" t="str">
        <f t="shared" si="1"/>
        <v>Фамилия И.О.</v>
      </c>
      <c r="C24" s="155"/>
      <c r="D24" s="155"/>
      <c r="E24" s="155"/>
      <c r="F24" s="155"/>
      <c r="G24" s="155"/>
      <c r="H24" s="152" t="s">
        <v>43</v>
      </c>
      <c r="I24" s="152"/>
      <c r="J24" s="152"/>
      <c r="K24" s="152"/>
      <c r="L24" s="152"/>
      <c r="M24" s="152"/>
      <c r="N24" s="152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0"/>
      <c r="Z24" s="150"/>
      <c r="AA24" s="150"/>
      <c r="AB24" s="150"/>
      <c r="AC24" s="150"/>
    </row>
    <row r="25" spans="1:29" ht="18.75" customHeight="1" x14ac:dyDescent="0.15">
      <c r="A25" s="60">
        <v>11</v>
      </c>
      <c r="B25" s="155" t="str">
        <f t="shared" si="1"/>
        <v xml:space="preserve"> ..</v>
      </c>
      <c r="C25" s="155"/>
      <c r="D25" s="155"/>
      <c r="E25" s="155"/>
      <c r="F25" s="155"/>
      <c r="G25" s="155"/>
      <c r="H25" s="152" t="s">
        <v>43</v>
      </c>
      <c r="I25" s="152"/>
      <c r="J25" s="152"/>
      <c r="K25" s="152"/>
      <c r="L25" s="152"/>
      <c r="M25" s="152"/>
      <c r="N25" s="152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0"/>
      <c r="Z25" s="150"/>
      <c r="AA25" s="150"/>
      <c r="AB25" s="150"/>
      <c r="AC25" s="150"/>
    </row>
    <row r="26" spans="1:29" ht="18.75" customHeight="1" x14ac:dyDescent="0.15">
      <c r="A26" s="60">
        <v>12</v>
      </c>
      <c r="B26" s="155" t="str">
        <f t="shared" si="1"/>
        <v xml:space="preserve"> ..</v>
      </c>
      <c r="C26" s="155"/>
      <c r="D26" s="155"/>
      <c r="E26" s="155"/>
      <c r="F26" s="155"/>
      <c r="G26" s="155"/>
      <c r="H26" s="152" t="s">
        <v>43</v>
      </c>
      <c r="I26" s="152"/>
      <c r="J26" s="152"/>
      <c r="K26" s="152"/>
      <c r="L26" s="152"/>
      <c r="M26" s="152"/>
      <c r="N26" s="152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0"/>
      <c r="Z26" s="150"/>
      <c r="AA26" s="150"/>
      <c r="AB26" s="150"/>
      <c r="AC26" s="150"/>
    </row>
    <row r="27" spans="1:29" ht="18.75" customHeight="1" x14ac:dyDescent="0.15">
      <c r="A27" s="60">
        <v>13</v>
      </c>
      <c r="B27" s="155" t="str">
        <f t="shared" si="1"/>
        <v xml:space="preserve"> ..</v>
      </c>
      <c r="C27" s="155"/>
      <c r="D27" s="155"/>
      <c r="E27" s="155"/>
      <c r="F27" s="155"/>
      <c r="G27" s="155"/>
      <c r="H27" s="152" t="s">
        <v>43</v>
      </c>
      <c r="I27" s="152"/>
      <c r="J27" s="152"/>
      <c r="K27" s="152"/>
      <c r="L27" s="152"/>
      <c r="M27" s="152"/>
      <c r="N27" s="152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0"/>
      <c r="Z27" s="150"/>
      <c r="AA27" s="150"/>
      <c r="AB27" s="150"/>
      <c r="AC27" s="150"/>
    </row>
    <row r="28" spans="1:29" ht="18.75" customHeight="1" x14ac:dyDescent="0.15">
      <c r="A28" s="60">
        <v>14</v>
      </c>
      <c r="B28" s="155" t="str">
        <f t="shared" si="1"/>
        <v xml:space="preserve"> ..</v>
      </c>
      <c r="C28" s="155"/>
      <c r="D28" s="155"/>
      <c r="E28" s="155"/>
      <c r="F28" s="155"/>
      <c r="G28" s="155"/>
      <c r="H28" s="152" t="s">
        <v>43</v>
      </c>
      <c r="I28" s="152"/>
      <c r="J28" s="152"/>
      <c r="K28" s="152"/>
      <c r="L28" s="152"/>
      <c r="M28" s="152"/>
      <c r="N28" s="152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0"/>
      <c r="Z28" s="150"/>
      <c r="AA28" s="150"/>
      <c r="AB28" s="150"/>
      <c r="AC28" s="150"/>
    </row>
    <row r="29" spans="1:29" ht="18.75" customHeight="1" x14ac:dyDescent="0.15">
      <c r="A29" s="60">
        <v>15</v>
      </c>
      <c r="B29" s="155" t="str">
        <f t="shared" si="1"/>
        <v xml:space="preserve"> ..</v>
      </c>
      <c r="C29" s="155"/>
      <c r="D29" s="155"/>
      <c r="E29" s="155"/>
      <c r="F29" s="155"/>
      <c r="G29" s="155"/>
      <c r="H29" s="152" t="s">
        <v>43</v>
      </c>
      <c r="I29" s="152"/>
      <c r="J29" s="152"/>
      <c r="K29" s="152"/>
      <c r="L29" s="152"/>
      <c r="M29" s="152"/>
      <c r="N29" s="152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0"/>
      <c r="Z29" s="150"/>
      <c r="AA29" s="150"/>
      <c r="AB29" s="150"/>
      <c r="AC29" s="150"/>
    </row>
    <row r="30" spans="1:29" ht="18.75" customHeight="1" x14ac:dyDescent="0.15">
      <c r="A30" s="60">
        <v>16</v>
      </c>
      <c r="B30" s="155" t="str">
        <f t="shared" si="1"/>
        <v xml:space="preserve"> ..</v>
      </c>
      <c r="C30" s="155"/>
      <c r="D30" s="155"/>
      <c r="E30" s="155"/>
      <c r="F30" s="155"/>
      <c r="G30" s="155"/>
      <c r="H30" s="152" t="s">
        <v>43</v>
      </c>
      <c r="I30" s="152"/>
      <c r="J30" s="152"/>
      <c r="K30" s="152"/>
      <c r="L30" s="152"/>
      <c r="M30" s="152"/>
      <c r="N30" s="152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0"/>
      <c r="Z30" s="150"/>
      <c r="AA30" s="150"/>
      <c r="AB30" s="150"/>
      <c r="AC30" s="150"/>
    </row>
    <row r="31" spans="1:29" ht="18.75" customHeight="1" x14ac:dyDescent="0.15">
      <c r="A31" s="60">
        <v>17</v>
      </c>
      <c r="B31" s="155" t="str">
        <f t="shared" si="1"/>
        <v xml:space="preserve"> ..</v>
      </c>
      <c r="C31" s="155"/>
      <c r="D31" s="155"/>
      <c r="E31" s="155"/>
      <c r="F31" s="155"/>
      <c r="G31" s="155"/>
      <c r="H31" s="152" t="s">
        <v>43</v>
      </c>
      <c r="I31" s="152"/>
      <c r="J31" s="152"/>
      <c r="K31" s="152"/>
      <c r="L31" s="152"/>
      <c r="M31" s="152"/>
      <c r="N31" s="152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0"/>
      <c r="Z31" s="150"/>
      <c r="AA31" s="150"/>
      <c r="AB31" s="150"/>
      <c r="AC31" s="150"/>
    </row>
    <row r="32" spans="1:29" ht="18.75" customHeight="1" x14ac:dyDescent="0.15">
      <c r="A32" s="60">
        <v>18</v>
      </c>
      <c r="B32" s="155" t="str">
        <f t="shared" si="1"/>
        <v xml:space="preserve"> ..</v>
      </c>
      <c r="C32" s="155"/>
      <c r="D32" s="155"/>
      <c r="E32" s="155"/>
      <c r="F32" s="155"/>
      <c r="G32" s="155"/>
      <c r="H32" s="152" t="s">
        <v>43</v>
      </c>
      <c r="I32" s="152"/>
      <c r="J32" s="152"/>
      <c r="K32" s="152"/>
      <c r="L32" s="152"/>
      <c r="M32" s="152"/>
      <c r="N32" s="152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0"/>
      <c r="Z32" s="150"/>
      <c r="AA32" s="150"/>
      <c r="AB32" s="150"/>
      <c r="AC32" s="150"/>
    </row>
    <row r="33" spans="1:31" ht="18.75" customHeight="1" x14ac:dyDescent="0.15">
      <c r="A33" s="60">
        <v>19</v>
      </c>
      <c r="B33" s="155" t="str">
        <f t="shared" si="1"/>
        <v xml:space="preserve"> ..</v>
      </c>
      <c r="C33" s="155"/>
      <c r="D33" s="155"/>
      <c r="E33" s="155"/>
      <c r="F33" s="155"/>
      <c r="G33" s="155"/>
      <c r="H33" s="152" t="s">
        <v>43</v>
      </c>
      <c r="I33" s="152"/>
      <c r="J33" s="152"/>
      <c r="K33" s="152"/>
      <c r="L33" s="152"/>
      <c r="M33" s="152"/>
      <c r="N33" s="152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0"/>
      <c r="Z33" s="150"/>
      <c r="AA33" s="150"/>
      <c r="AB33" s="150"/>
      <c r="AC33" s="150"/>
    </row>
    <row r="34" spans="1:31" ht="9" customHeight="1" x14ac:dyDescent="0.15">
      <c r="B34" s="61"/>
      <c r="C34" s="61"/>
      <c r="D34" s="62"/>
      <c r="E34" s="62"/>
      <c r="F34" s="63"/>
      <c r="G34" s="63"/>
      <c r="H34" s="32"/>
      <c r="I34" s="33"/>
      <c r="J34" s="33"/>
      <c r="K34" s="33"/>
      <c r="L34" s="33"/>
      <c r="M34" s="32"/>
      <c r="N34" s="33"/>
      <c r="O34" s="33"/>
      <c r="P34" s="33"/>
      <c r="Q34" s="49"/>
      <c r="R34" s="49"/>
      <c r="S34" s="49"/>
      <c r="T34" s="49"/>
      <c r="U34" s="49"/>
      <c r="V34" s="49"/>
      <c r="W34" s="49"/>
      <c r="X34" s="49"/>
      <c r="Y34" s="64"/>
      <c r="Z34" s="64"/>
      <c r="AA34" s="64"/>
      <c r="AB34" s="64"/>
      <c r="AC34" s="64"/>
      <c r="AD34" s="64"/>
      <c r="AE34" s="64"/>
    </row>
    <row r="35" spans="1:31" x14ac:dyDescent="0.15">
      <c r="B35" s="134" t="s">
        <v>14</v>
      </c>
      <c r="C35" s="134"/>
      <c r="D35" s="134"/>
      <c r="E35" s="134"/>
      <c r="F35" s="133">
        <f>Чемп!B7</f>
        <v>44432</v>
      </c>
      <c r="G35" s="133"/>
      <c r="H35" s="133"/>
      <c r="I35" s="133"/>
      <c r="J35" s="133"/>
      <c r="K35" s="133"/>
      <c r="L35" s="133"/>
      <c r="M35" s="65"/>
      <c r="N35" s="65"/>
      <c r="O35" s="65"/>
      <c r="P35" s="65"/>
      <c r="Q35" s="61"/>
      <c r="S35" s="158" t="s">
        <v>107</v>
      </c>
      <c r="T35" s="158"/>
      <c r="U35" s="158"/>
      <c r="V35" s="158"/>
      <c r="W35" s="158"/>
      <c r="X35" s="158"/>
      <c r="Y35" s="158"/>
      <c r="Z35" s="135"/>
      <c r="AA35" s="135"/>
      <c r="AB35" s="135"/>
      <c r="AC35" s="135"/>
      <c r="AD35" s="135"/>
      <c r="AE35" s="135"/>
    </row>
    <row r="36" spans="1:31" x14ac:dyDescent="0.15">
      <c r="Z36" s="157" t="s">
        <v>16</v>
      </c>
      <c r="AA36" s="157"/>
      <c r="AB36" s="157"/>
      <c r="AC36" s="157"/>
      <c r="AD36" s="157"/>
      <c r="AE36" s="157"/>
    </row>
  </sheetData>
  <sheetProtection formatCells="0" formatColumns="0" formatRows="0"/>
  <mergeCells count="116">
    <mergeCell ref="A6:A8"/>
    <mergeCell ref="Z36:AE36"/>
    <mergeCell ref="C6:AD6"/>
    <mergeCell ref="B8:G8"/>
    <mergeCell ref="B9:G9"/>
    <mergeCell ref="B10:G10"/>
    <mergeCell ref="B11:G11"/>
    <mergeCell ref="B12:G12"/>
    <mergeCell ref="B13:G13"/>
    <mergeCell ref="B14:G14"/>
    <mergeCell ref="B15:G15"/>
    <mergeCell ref="O33:X33"/>
    <mergeCell ref="Y33:AC33"/>
    <mergeCell ref="B35:E35"/>
    <mergeCell ref="F35:L35"/>
    <mergeCell ref="S35:Y35"/>
    <mergeCell ref="Z35:AE35"/>
    <mergeCell ref="B33:G33"/>
    <mergeCell ref="H33:N33"/>
    <mergeCell ref="O31:X31"/>
    <mergeCell ref="Y31:AC31"/>
    <mergeCell ref="O32:X32"/>
    <mergeCell ref="Y32:AC32"/>
    <mergeCell ref="B31:G31"/>
    <mergeCell ref="H31:N31"/>
    <mergeCell ref="B32:G32"/>
    <mergeCell ref="H32:N32"/>
    <mergeCell ref="O29:X29"/>
    <mergeCell ref="Y29:AC29"/>
    <mergeCell ref="O30:X30"/>
    <mergeCell ref="Y30:AC30"/>
    <mergeCell ref="B29:G29"/>
    <mergeCell ref="H29:N29"/>
    <mergeCell ref="B30:G30"/>
    <mergeCell ref="H30:N30"/>
    <mergeCell ref="O27:X27"/>
    <mergeCell ref="Y27:AC27"/>
    <mergeCell ref="O28:X28"/>
    <mergeCell ref="Y28:AC28"/>
    <mergeCell ref="B27:G27"/>
    <mergeCell ref="H27:N27"/>
    <mergeCell ref="B28:G28"/>
    <mergeCell ref="H28:N28"/>
    <mergeCell ref="O25:X25"/>
    <mergeCell ref="Y25:AC25"/>
    <mergeCell ref="O26:X26"/>
    <mergeCell ref="Y26:AC26"/>
    <mergeCell ref="B25:G25"/>
    <mergeCell ref="H25:N25"/>
    <mergeCell ref="B26:G26"/>
    <mergeCell ref="H26:N26"/>
    <mergeCell ref="O23:X23"/>
    <mergeCell ref="Y23:AC23"/>
    <mergeCell ref="O24:X24"/>
    <mergeCell ref="Y24:AC24"/>
    <mergeCell ref="B23:G23"/>
    <mergeCell ref="H23:N23"/>
    <mergeCell ref="B24:G24"/>
    <mergeCell ref="H24:N24"/>
    <mergeCell ref="O21:X21"/>
    <mergeCell ref="Y21:AC21"/>
    <mergeCell ref="O22:X22"/>
    <mergeCell ref="Y22:AC22"/>
    <mergeCell ref="B21:G21"/>
    <mergeCell ref="H21:N21"/>
    <mergeCell ref="B22:G22"/>
    <mergeCell ref="H22:N22"/>
    <mergeCell ref="O19:X19"/>
    <mergeCell ref="Y19:AC19"/>
    <mergeCell ref="O20:X20"/>
    <mergeCell ref="Y20:AC20"/>
    <mergeCell ref="B19:G19"/>
    <mergeCell ref="H19:N19"/>
    <mergeCell ref="B20:G20"/>
    <mergeCell ref="H20:N20"/>
    <mergeCell ref="O17:X17"/>
    <mergeCell ref="Y17:AC17"/>
    <mergeCell ref="O18:X18"/>
    <mergeCell ref="Y18:AC18"/>
    <mergeCell ref="B18:G18"/>
    <mergeCell ref="H18:N18"/>
    <mergeCell ref="O15:X15"/>
    <mergeCell ref="Y15:AC15"/>
    <mergeCell ref="O16:X16"/>
    <mergeCell ref="Y16:AC16"/>
    <mergeCell ref="B16:G16"/>
    <mergeCell ref="H15:N15"/>
    <mergeCell ref="H16:N16"/>
    <mergeCell ref="B17:G17"/>
    <mergeCell ref="H17:N17"/>
    <mergeCell ref="O13:X13"/>
    <mergeCell ref="Y13:AC13"/>
    <mergeCell ref="O14:X14"/>
    <mergeCell ref="Y14:AC14"/>
    <mergeCell ref="H13:N13"/>
    <mergeCell ref="H14:N14"/>
    <mergeCell ref="O11:X11"/>
    <mergeCell ref="Y11:AC11"/>
    <mergeCell ref="O12:X12"/>
    <mergeCell ref="Y12:AC12"/>
    <mergeCell ref="H11:N11"/>
    <mergeCell ref="H12:N12"/>
    <mergeCell ref="O9:X9"/>
    <mergeCell ref="Y9:AC9"/>
    <mergeCell ref="O10:X10"/>
    <mergeCell ref="Y10:AC10"/>
    <mergeCell ref="H9:N9"/>
    <mergeCell ref="H10:N10"/>
    <mergeCell ref="D2:AC2"/>
    <mergeCell ref="B3:J3"/>
    <mergeCell ref="B4:J4"/>
    <mergeCell ref="B5:M5"/>
    <mergeCell ref="O8:X8"/>
    <mergeCell ref="Y8:AC8"/>
    <mergeCell ref="H8:N8"/>
    <mergeCell ref="K3:AD3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2"/>
  <dimension ref="A1:AF38"/>
  <sheetViews>
    <sheetView view="pageBreakPreview" zoomScale="80" zoomScaleNormal="100" zoomScaleSheetLayoutView="80" workbookViewId="0">
      <selection activeCell="V37" sqref="V37"/>
    </sheetView>
  </sheetViews>
  <sheetFormatPr defaultColWidth="9.14453125" defaultRowHeight="13.5" x14ac:dyDescent="0.15"/>
  <cols>
    <col min="1" max="1" width="24.88671875" style="28" customWidth="1"/>
    <col min="2" max="2" width="4.5703125" style="28" customWidth="1"/>
    <col min="3" max="3" width="1.4765625" style="28" customWidth="1"/>
    <col min="4" max="7" width="3.09375" style="28" customWidth="1"/>
    <col min="8" max="8" width="1.4765625" style="28" customWidth="1"/>
    <col min="9" max="9" width="3.09375" style="28" customWidth="1"/>
    <col min="10" max="10" width="4.5703125" style="28" customWidth="1"/>
    <col min="11" max="12" width="3.09375" style="28" customWidth="1"/>
    <col min="13" max="13" width="2.5546875" style="28" customWidth="1"/>
    <col min="14" max="14" width="2.82421875" style="28" customWidth="1"/>
    <col min="15" max="16" width="3.09375" style="28" customWidth="1"/>
    <col min="17" max="19" width="2.41796875" style="28" customWidth="1"/>
    <col min="20" max="21" width="3.09375" style="28" customWidth="1"/>
    <col min="22" max="26" width="2.41796875" style="28" customWidth="1"/>
    <col min="27" max="29" width="4.16796875" style="28" customWidth="1"/>
    <col min="30" max="30" width="3.359375" style="28" customWidth="1"/>
    <col min="31" max="31" width="3.2265625" style="28" customWidth="1"/>
    <col min="32" max="32" width="2.41796875" style="28" customWidth="1"/>
    <col min="33" max="35" width="3.09375" style="28" customWidth="1"/>
    <col min="36" max="16384" width="9.14453125" style="28"/>
  </cols>
  <sheetData>
    <row r="1" spans="1:32" ht="28.35" customHeight="1" x14ac:dyDescent="0.15"/>
    <row r="2" spans="1:32" ht="51" customHeight="1" x14ac:dyDescent="0.2">
      <c r="C2" s="31"/>
      <c r="D2" s="160" t="s">
        <v>99</v>
      </c>
      <c r="E2" s="160"/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31"/>
      <c r="AE2" s="31"/>
      <c r="AF2" s="31"/>
    </row>
    <row r="3" spans="1:32" ht="45.6" customHeight="1" x14ac:dyDescent="0.15">
      <c r="B3" s="123" t="s">
        <v>3</v>
      </c>
      <c r="C3" s="123"/>
      <c r="D3" s="123"/>
      <c r="E3" s="123"/>
      <c r="F3" s="123"/>
      <c r="G3" s="123"/>
      <c r="H3" s="123"/>
      <c r="I3" s="123"/>
      <c r="J3" s="123"/>
      <c r="K3" s="124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"/>
    </row>
    <row r="4" spans="1:32" ht="24.75" customHeight="1" x14ac:dyDescent="0.15">
      <c r="A4" s="168" t="s">
        <v>52</v>
      </c>
      <c r="B4" s="123" t="s">
        <v>6</v>
      </c>
      <c r="C4" s="123"/>
      <c r="D4" s="123"/>
      <c r="E4" s="123"/>
      <c r="F4" s="123"/>
      <c r="G4" s="123"/>
      <c r="H4" s="123"/>
      <c r="I4" s="123"/>
      <c r="J4" s="123"/>
      <c r="K4" s="11" t="str">
        <f>CONCATENATE(Чемп!B4," ",Чемп!C4)</f>
        <v>№ (заполнить) Название (заполнить)</v>
      </c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spans="1:32" ht="21.75" customHeight="1" x14ac:dyDescent="0.15">
      <c r="A5" s="168"/>
      <c r="B5" s="123" t="s">
        <v>106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1" t="str">
        <f>CONCATENATE(Experts!B1," ",Experts!C1," ",Experts!D1)</f>
        <v>Фамилия Имя Отчество</v>
      </c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ht="30.75" customHeight="1" x14ac:dyDescent="0.25">
      <c r="A6" s="43">
        <v>1</v>
      </c>
      <c r="B6" s="167" t="s">
        <v>51</v>
      </c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1" t="str">
        <f>VLOOKUP(A6,Эксперты,2)</f>
        <v>Фамилия Имя Отчество</v>
      </c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ht="6" customHeight="1" x14ac:dyDescent="0.15"/>
    <row r="8" spans="1:32" ht="31.5" customHeight="1" x14ac:dyDescent="0.15">
      <c r="B8" s="136" t="s">
        <v>9</v>
      </c>
      <c r="C8" s="136"/>
      <c r="D8" s="137" t="s">
        <v>59</v>
      </c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59" t="s">
        <v>28</v>
      </c>
      <c r="R8" s="159"/>
      <c r="S8" s="159"/>
      <c r="T8" s="159"/>
      <c r="U8" s="159"/>
      <c r="V8" s="159"/>
      <c r="W8" s="159"/>
      <c r="X8" s="159"/>
      <c r="Y8" s="159"/>
      <c r="Z8" s="159"/>
      <c r="AA8" s="137" t="s">
        <v>12</v>
      </c>
      <c r="AB8" s="137"/>
      <c r="AC8" s="137"/>
      <c r="AD8" s="137"/>
      <c r="AE8" s="137"/>
    </row>
    <row r="9" spans="1:32" s="23" customFormat="1" ht="15.75" customHeight="1" x14ac:dyDescent="0.2">
      <c r="B9" s="79">
        <v>1</v>
      </c>
      <c r="C9" s="80" t="s">
        <v>13</v>
      </c>
      <c r="D9" s="128" t="str">
        <f>Competitors!F1</f>
        <v>Фамилия Имя Отчество</v>
      </c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30"/>
      <c r="Q9" s="161"/>
      <c r="R9" s="162"/>
      <c r="S9" s="162"/>
      <c r="T9" s="162"/>
      <c r="U9" s="162"/>
      <c r="V9" s="162"/>
      <c r="W9" s="162"/>
      <c r="X9" s="162"/>
      <c r="Y9" s="162"/>
      <c r="Z9" s="163"/>
      <c r="AA9" s="161"/>
      <c r="AB9" s="162"/>
      <c r="AC9" s="162"/>
      <c r="AD9" s="162"/>
      <c r="AE9" s="163"/>
    </row>
    <row r="10" spans="1:32" s="23" customFormat="1" ht="12" customHeight="1" x14ac:dyDescent="0.2">
      <c r="B10" s="79">
        <v>2</v>
      </c>
      <c r="C10" s="80" t="s">
        <v>13</v>
      </c>
      <c r="D10" s="128" t="str">
        <f>Competitors!F2</f>
        <v>Фамилия Имя Отчество</v>
      </c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30"/>
      <c r="Q10" s="161"/>
      <c r="R10" s="162"/>
      <c r="S10" s="162"/>
      <c r="T10" s="162"/>
      <c r="U10" s="162"/>
      <c r="V10" s="162"/>
      <c r="W10" s="162"/>
      <c r="X10" s="162"/>
      <c r="Y10" s="162"/>
      <c r="Z10" s="163"/>
      <c r="AA10" s="161"/>
      <c r="AB10" s="162"/>
      <c r="AC10" s="162"/>
      <c r="AD10" s="162"/>
      <c r="AE10" s="163"/>
    </row>
    <row r="11" spans="1:32" s="23" customFormat="1" ht="13.5" customHeight="1" x14ac:dyDescent="0.2">
      <c r="B11" s="79">
        <v>3</v>
      </c>
      <c r="C11" s="80" t="s">
        <v>13</v>
      </c>
      <c r="D11" s="128" t="str">
        <f>Competitors!F3</f>
        <v>Фамилия Имя Отчество</v>
      </c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30"/>
      <c r="Q11" s="161"/>
      <c r="R11" s="162"/>
      <c r="S11" s="162"/>
      <c r="T11" s="162"/>
      <c r="U11" s="162"/>
      <c r="V11" s="162"/>
      <c r="W11" s="162"/>
      <c r="X11" s="162"/>
      <c r="Y11" s="162"/>
      <c r="Z11" s="163"/>
      <c r="AA11" s="161"/>
      <c r="AB11" s="162"/>
      <c r="AC11" s="162"/>
      <c r="AD11" s="162"/>
      <c r="AE11" s="163"/>
    </row>
    <row r="12" spans="1:32" s="23" customFormat="1" ht="13.5" customHeight="1" x14ac:dyDescent="0.2">
      <c r="B12" s="79">
        <v>4</v>
      </c>
      <c r="C12" s="80" t="s">
        <v>13</v>
      </c>
      <c r="D12" s="128" t="str">
        <f>Competitors!F4</f>
        <v>Фамилия Имя Отчество</v>
      </c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30"/>
      <c r="Q12" s="161"/>
      <c r="R12" s="162"/>
      <c r="S12" s="162"/>
      <c r="T12" s="162"/>
      <c r="U12" s="162"/>
      <c r="V12" s="162"/>
      <c r="W12" s="162"/>
      <c r="X12" s="162"/>
      <c r="Y12" s="162"/>
      <c r="Z12" s="163"/>
      <c r="AA12" s="161"/>
      <c r="AB12" s="162"/>
      <c r="AC12" s="162"/>
      <c r="AD12" s="162"/>
      <c r="AE12" s="163"/>
    </row>
    <row r="13" spans="1:32" s="23" customFormat="1" ht="14.25" customHeight="1" x14ac:dyDescent="0.2">
      <c r="B13" s="79">
        <v>5</v>
      </c>
      <c r="C13" s="80" t="s">
        <v>13</v>
      </c>
      <c r="D13" s="128" t="str">
        <f>Competitors!F5</f>
        <v>Фамилия Имя Отчество</v>
      </c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30"/>
      <c r="Q13" s="161"/>
      <c r="R13" s="162"/>
      <c r="S13" s="162"/>
      <c r="T13" s="162"/>
      <c r="U13" s="162"/>
      <c r="V13" s="162"/>
      <c r="W13" s="162"/>
      <c r="X13" s="162"/>
      <c r="Y13" s="162"/>
      <c r="Z13" s="163"/>
      <c r="AA13" s="161"/>
      <c r="AB13" s="162"/>
      <c r="AC13" s="162"/>
      <c r="AD13" s="162"/>
      <c r="AE13" s="163"/>
    </row>
    <row r="14" spans="1:32" s="23" customFormat="1" ht="14.25" customHeight="1" x14ac:dyDescent="0.2">
      <c r="B14" s="79">
        <v>6</v>
      </c>
      <c r="C14" s="80" t="s">
        <v>13</v>
      </c>
      <c r="D14" s="128" t="str">
        <f>Competitors!F6</f>
        <v>Фамилия Имя Отчество</v>
      </c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30"/>
      <c r="Q14" s="128"/>
      <c r="R14" s="129"/>
      <c r="S14" s="129"/>
      <c r="T14" s="129"/>
      <c r="U14" s="129"/>
      <c r="V14" s="129"/>
      <c r="W14" s="129"/>
      <c r="X14" s="129"/>
      <c r="Y14" s="129"/>
      <c r="Z14" s="129"/>
      <c r="AA14" s="161"/>
      <c r="AB14" s="164"/>
      <c r="AC14" s="164"/>
      <c r="AD14" s="164"/>
      <c r="AE14" s="165"/>
    </row>
    <row r="15" spans="1:32" s="23" customFormat="1" ht="14.25" customHeight="1" x14ac:dyDescent="0.2">
      <c r="B15" s="79">
        <v>7</v>
      </c>
      <c r="C15" s="80"/>
      <c r="D15" s="128" t="str">
        <f>Competitors!F7</f>
        <v>Фамилия Имя Отчество</v>
      </c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30"/>
      <c r="Q15" s="128"/>
      <c r="R15" s="129"/>
      <c r="S15" s="129"/>
      <c r="T15" s="129"/>
      <c r="U15" s="129"/>
      <c r="V15" s="129"/>
      <c r="W15" s="129"/>
      <c r="X15" s="129"/>
      <c r="Y15" s="129"/>
      <c r="Z15" s="129"/>
      <c r="AA15" s="161"/>
      <c r="AB15" s="164"/>
      <c r="AC15" s="164"/>
      <c r="AD15" s="164"/>
      <c r="AE15" s="165"/>
    </row>
    <row r="16" spans="1:32" s="23" customFormat="1" ht="12.75" customHeight="1" x14ac:dyDescent="0.2">
      <c r="B16" s="79">
        <v>8</v>
      </c>
      <c r="C16" s="80" t="s">
        <v>13</v>
      </c>
      <c r="D16" s="128" t="str">
        <f>Competitors!F8</f>
        <v>Фамилия Имя Отчество</v>
      </c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30"/>
      <c r="Q16" s="128"/>
      <c r="R16" s="129"/>
      <c r="S16" s="129"/>
      <c r="T16" s="129"/>
      <c r="U16" s="129"/>
      <c r="V16" s="129"/>
      <c r="W16" s="129"/>
      <c r="X16" s="129"/>
      <c r="Y16" s="129"/>
      <c r="Z16" s="129"/>
      <c r="AA16" s="161"/>
      <c r="AB16" s="162"/>
      <c r="AC16" s="162"/>
      <c r="AD16" s="162"/>
      <c r="AE16" s="163"/>
    </row>
    <row r="17" spans="2:31" s="23" customFormat="1" ht="24.75" customHeight="1" x14ac:dyDescent="0.2">
      <c r="B17" s="79">
        <v>9</v>
      </c>
      <c r="C17" s="80" t="s">
        <v>13</v>
      </c>
      <c r="D17" s="128" t="str">
        <f>Competitors!F9</f>
        <v>Фамилия Имя Отчество</v>
      </c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30"/>
      <c r="Q17" s="161"/>
      <c r="R17" s="162"/>
      <c r="S17" s="162"/>
      <c r="T17" s="162"/>
      <c r="U17" s="162"/>
      <c r="V17" s="162"/>
      <c r="W17" s="162"/>
      <c r="X17" s="162"/>
      <c r="Y17" s="162"/>
      <c r="Z17" s="163"/>
      <c r="AA17" s="161"/>
      <c r="AB17" s="162"/>
      <c r="AC17" s="162"/>
      <c r="AD17" s="162"/>
      <c r="AE17" s="163"/>
    </row>
    <row r="18" spans="2:31" s="23" customFormat="1" ht="24.75" customHeight="1" x14ac:dyDescent="0.2">
      <c r="B18" s="79">
        <v>10</v>
      </c>
      <c r="C18" s="80" t="s">
        <v>13</v>
      </c>
      <c r="D18" s="128" t="str">
        <f>Competitors!F10</f>
        <v>Фамилия Имя Отчество</v>
      </c>
      <c r="E18" s="129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30"/>
      <c r="Q18" s="161"/>
      <c r="R18" s="162"/>
      <c r="S18" s="162"/>
      <c r="T18" s="162"/>
      <c r="U18" s="162"/>
      <c r="V18" s="162"/>
      <c r="W18" s="162"/>
      <c r="X18" s="162"/>
      <c r="Y18" s="162"/>
      <c r="Z18" s="163"/>
      <c r="AA18" s="161"/>
      <c r="AB18" s="162"/>
      <c r="AC18" s="162"/>
      <c r="AD18" s="162"/>
      <c r="AE18" s="163"/>
    </row>
    <row r="19" spans="2:31" s="23" customFormat="1" ht="24.75" customHeight="1" x14ac:dyDescent="0.2">
      <c r="B19" s="79">
        <v>11</v>
      </c>
      <c r="C19" s="80" t="s">
        <v>13</v>
      </c>
      <c r="D19" s="128" t="str">
        <f>Competitors!F11</f>
        <v>Фамилия Имя Отчество</v>
      </c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30"/>
      <c r="Q19" s="161"/>
      <c r="R19" s="162"/>
      <c r="S19" s="162"/>
      <c r="T19" s="162"/>
      <c r="U19" s="162"/>
      <c r="V19" s="162"/>
      <c r="W19" s="162"/>
      <c r="X19" s="162"/>
      <c r="Y19" s="162"/>
      <c r="Z19" s="163"/>
      <c r="AA19" s="161"/>
      <c r="AB19" s="162"/>
      <c r="AC19" s="162"/>
      <c r="AD19" s="162"/>
      <c r="AE19" s="163"/>
    </row>
    <row r="20" spans="2:31" s="23" customFormat="1" ht="24.75" customHeight="1" x14ac:dyDescent="0.2">
      <c r="B20" s="79">
        <v>12</v>
      </c>
      <c r="C20" s="80" t="s">
        <v>13</v>
      </c>
      <c r="D20" s="128" t="str">
        <f>Competitors!F12</f>
        <v>Фамилия Имя Отчество</v>
      </c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30"/>
      <c r="Q20" s="161"/>
      <c r="R20" s="162"/>
      <c r="S20" s="162"/>
      <c r="T20" s="162"/>
      <c r="U20" s="162"/>
      <c r="V20" s="162"/>
      <c r="W20" s="162"/>
      <c r="X20" s="162"/>
      <c r="Y20" s="162"/>
      <c r="Z20" s="163"/>
      <c r="AA20" s="161"/>
      <c r="AB20" s="162"/>
      <c r="AC20" s="162"/>
      <c r="AD20" s="162"/>
      <c r="AE20" s="163"/>
    </row>
    <row r="21" spans="2:31" s="23" customFormat="1" ht="24.75" hidden="1" customHeight="1" x14ac:dyDescent="0.2">
      <c r="B21" s="79">
        <v>11</v>
      </c>
      <c r="C21" s="80" t="s">
        <v>13</v>
      </c>
      <c r="D21" s="128" t="str">
        <f>Competitors!F13</f>
        <v>Фамилия Имя Отчество</v>
      </c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30"/>
      <c r="Q21" s="161"/>
      <c r="R21" s="162"/>
      <c r="S21" s="162"/>
      <c r="T21" s="162"/>
      <c r="U21" s="162"/>
      <c r="V21" s="162"/>
      <c r="W21" s="162"/>
      <c r="X21" s="162"/>
      <c r="Y21" s="162"/>
      <c r="Z21" s="163"/>
      <c r="AA21" s="161"/>
      <c r="AB21" s="162"/>
      <c r="AC21" s="162"/>
      <c r="AD21" s="162"/>
      <c r="AE21" s="163"/>
    </row>
    <row r="22" spans="2:31" s="23" customFormat="1" ht="24.75" hidden="1" customHeight="1" x14ac:dyDescent="0.2">
      <c r="B22" s="79">
        <v>12</v>
      </c>
      <c r="C22" s="80" t="s">
        <v>13</v>
      </c>
      <c r="D22" s="128" t="str">
        <f>Competitors!F14</f>
        <v>Фамилия Имя Отчество</v>
      </c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30"/>
      <c r="Q22" s="161"/>
      <c r="R22" s="162"/>
      <c r="S22" s="162"/>
      <c r="T22" s="162"/>
      <c r="U22" s="162"/>
      <c r="V22" s="162"/>
      <c r="W22" s="162"/>
      <c r="X22" s="162"/>
      <c r="Y22" s="162"/>
      <c r="Z22" s="163"/>
      <c r="AA22" s="161"/>
      <c r="AB22" s="162"/>
      <c r="AC22" s="162"/>
      <c r="AD22" s="162"/>
      <c r="AE22" s="163"/>
    </row>
    <row r="23" spans="2:31" s="23" customFormat="1" ht="24.75" hidden="1" customHeight="1" x14ac:dyDescent="0.2">
      <c r="B23" s="79">
        <v>13</v>
      </c>
      <c r="C23" s="80" t="s">
        <v>13</v>
      </c>
      <c r="D23" s="128" t="str">
        <f>Competitors!F13</f>
        <v>Фамилия Имя Отчество</v>
      </c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30"/>
      <c r="Q23" s="161"/>
      <c r="R23" s="162"/>
      <c r="S23" s="162"/>
      <c r="T23" s="162"/>
      <c r="U23" s="162"/>
      <c r="V23" s="162"/>
      <c r="W23" s="162"/>
      <c r="X23" s="162"/>
      <c r="Y23" s="162"/>
      <c r="Z23" s="163"/>
      <c r="AA23" s="161"/>
      <c r="AB23" s="162"/>
      <c r="AC23" s="162"/>
      <c r="AD23" s="162"/>
      <c r="AE23" s="163"/>
    </row>
    <row r="24" spans="2:31" s="23" customFormat="1" ht="24.75" hidden="1" customHeight="1" x14ac:dyDescent="0.2">
      <c r="B24" s="79">
        <v>14</v>
      </c>
      <c r="C24" s="80" t="s">
        <v>13</v>
      </c>
      <c r="D24" s="128" t="str">
        <f>Competitors!F14</f>
        <v>Фамилия Имя Отчество</v>
      </c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30"/>
      <c r="Q24" s="161"/>
      <c r="R24" s="162"/>
      <c r="S24" s="162"/>
      <c r="T24" s="162"/>
      <c r="U24" s="162"/>
      <c r="V24" s="162"/>
      <c r="W24" s="162"/>
      <c r="X24" s="162"/>
      <c r="Y24" s="162"/>
      <c r="Z24" s="163"/>
      <c r="AA24" s="161"/>
      <c r="AB24" s="162"/>
      <c r="AC24" s="162"/>
      <c r="AD24" s="162"/>
      <c r="AE24" s="163"/>
    </row>
    <row r="25" spans="2:31" s="23" customFormat="1" ht="24.75" hidden="1" customHeight="1" x14ac:dyDescent="0.2">
      <c r="B25" s="79">
        <v>15</v>
      </c>
      <c r="C25" s="80" t="s">
        <v>13</v>
      </c>
      <c r="D25" s="128" t="str">
        <f>Competitors!F15</f>
        <v xml:space="preserve">  </v>
      </c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30"/>
      <c r="Q25" s="161"/>
      <c r="R25" s="162"/>
      <c r="S25" s="162"/>
      <c r="T25" s="162"/>
      <c r="U25" s="162"/>
      <c r="V25" s="162"/>
      <c r="W25" s="162"/>
      <c r="X25" s="162"/>
      <c r="Y25" s="162"/>
      <c r="Z25" s="163"/>
      <c r="AA25" s="161"/>
      <c r="AB25" s="162"/>
      <c r="AC25" s="162"/>
      <c r="AD25" s="162"/>
      <c r="AE25" s="163"/>
    </row>
    <row r="26" spans="2:31" s="23" customFormat="1" ht="24.75" hidden="1" customHeight="1" x14ac:dyDescent="0.2">
      <c r="B26" s="79">
        <v>16</v>
      </c>
      <c r="C26" s="80" t="s">
        <v>13</v>
      </c>
      <c r="D26" s="128" t="str">
        <f>Competitors!F16</f>
        <v xml:space="preserve">  </v>
      </c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30"/>
      <c r="Q26" s="161"/>
      <c r="R26" s="162"/>
      <c r="S26" s="162"/>
      <c r="T26" s="162"/>
      <c r="U26" s="162"/>
      <c r="V26" s="162"/>
      <c r="W26" s="162"/>
      <c r="X26" s="162"/>
      <c r="Y26" s="162"/>
      <c r="Z26" s="163"/>
      <c r="AA26" s="161"/>
      <c r="AB26" s="162"/>
      <c r="AC26" s="162"/>
      <c r="AD26" s="162"/>
      <c r="AE26" s="163"/>
    </row>
    <row r="27" spans="2:31" s="23" customFormat="1" ht="24.75" hidden="1" customHeight="1" x14ac:dyDescent="0.2">
      <c r="B27" s="79">
        <v>17</v>
      </c>
      <c r="C27" s="80" t="s">
        <v>13</v>
      </c>
      <c r="D27" s="128" t="str">
        <f>Competitors!F17</f>
        <v xml:space="preserve">  </v>
      </c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30"/>
      <c r="Q27" s="161"/>
      <c r="R27" s="162"/>
      <c r="S27" s="162"/>
      <c r="T27" s="162"/>
      <c r="U27" s="162"/>
      <c r="V27" s="162"/>
      <c r="W27" s="162"/>
      <c r="X27" s="162"/>
      <c r="Y27" s="162"/>
      <c r="Z27" s="163"/>
      <c r="AA27" s="161"/>
      <c r="AB27" s="162"/>
      <c r="AC27" s="162"/>
      <c r="AD27" s="162"/>
      <c r="AE27" s="163"/>
    </row>
    <row r="28" spans="2:31" s="23" customFormat="1" ht="24.75" hidden="1" customHeight="1" x14ac:dyDescent="0.2">
      <c r="B28" s="79">
        <v>18</v>
      </c>
      <c r="C28" s="80" t="s">
        <v>13</v>
      </c>
      <c r="D28" s="128" t="str">
        <f>Competitors!F18</f>
        <v xml:space="preserve">  </v>
      </c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30"/>
      <c r="Q28" s="161"/>
      <c r="R28" s="162"/>
      <c r="S28" s="162"/>
      <c r="T28" s="162"/>
      <c r="U28" s="162"/>
      <c r="V28" s="162"/>
      <c r="W28" s="162"/>
      <c r="X28" s="162"/>
      <c r="Y28" s="162"/>
      <c r="Z28" s="163"/>
      <c r="AA28" s="161"/>
      <c r="AB28" s="162"/>
      <c r="AC28" s="162"/>
      <c r="AD28" s="162"/>
      <c r="AE28" s="163"/>
    </row>
    <row r="29" spans="2:31" s="23" customFormat="1" ht="24.75" hidden="1" customHeight="1" x14ac:dyDescent="0.2">
      <c r="B29" s="79">
        <v>19</v>
      </c>
      <c r="C29" s="80" t="s">
        <v>13</v>
      </c>
      <c r="D29" s="128" t="str">
        <f>Competitors!F19</f>
        <v xml:space="preserve">  </v>
      </c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30"/>
      <c r="Q29" s="161"/>
      <c r="R29" s="162"/>
      <c r="S29" s="162"/>
      <c r="T29" s="162"/>
      <c r="U29" s="162"/>
      <c r="V29" s="162"/>
      <c r="W29" s="162"/>
      <c r="X29" s="162"/>
      <c r="Y29" s="162"/>
      <c r="Z29" s="163"/>
      <c r="AA29" s="161"/>
      <c r="AB29" s="162"/>
      <c r="AC29" s="162"/>
      <c r="AD29" s="162"/>
      <c r="AE29" s="163"/>
    </row>
    <row r="30" spans="2:31" s="23" customFormat="1" ht="24.75" hidden="1" customHeight="1" x14ac:dyDescent="0.2">
      <c r="B30" s="79">
        <v>20</v>
      </c>
      <c r="C30" s="80" t="s">
        <v>13</v>
      </c>
      <c r="D30" s="128" t="str">
        <f>Competitors!F20</f>
        <v xml:space="preserve">  </v>
      </c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30"/>
      <c r="Q30" s="161"/>
      <c r="R30" s="162"/>
      <c r="S30" s="162"/>
      <c r="T30" s="162"/>
      <c r="U30" s="162"/>
      <c r="V30" s="162"/>
      <c r="W30" s="162"/>
      <c r="X30" s="162"/>
      <c r="Y30" s="162"/>
      <c r="Z30" s="163"/>
      <c r="AA30" s="161"/>
      <c r="AB30" s="162"/>
      <c r="AC30" s="162"/>
      <c r="AD30" s="162"/>
      <c r="AE30" s="163"/>
    </row>
    <row r="31" spans="2:31" s="23" customFormat="1" ht="24.75" hidden="1" customHeight="1" x14ac:dyDescent="0.2">
      <c r="B31" s="79">
        <v>21</v>
      </c>
      <c r="C31" s="80" t="s">
        <v>13</v>
      </c>
      <c r="D31" s="128" t="str">
        <f>Competitors!F21</f>
        <v xml:space="preserve">  </v>
      </c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  <c r="Q31" s="161"/>
      <c r="R31" s="162"/>
      <c r="S31" s="162"/>
      <c r="T31" s="162"/>
      <c r="U31" s="162"/>
      <c r="V31" s="162"/>
      <c r="W31" s="162"/>
      <c r="X31" s="162"/>
      <c r="Y31" s="162"/>
      <c r="Z31" s="163"/>
      <c r="AA31" s="161"/>
      <c r="AB31" s="162"/>
      <c r="AC31" s="162"/>
      <c r="AD31" s="162"/>
      <c r="AE31" s="163"/>
    </row>
    <row r="32" spans="2:31" s="23" customFormat="1" ht="24.75" hidden="1" customHeight="1" x14ac:dyDescent="0.2">
      <c r="B32" s="79">
        <v>22</v>
      </c>
      <c r="C32" s="80" t="s">
        <v>13</v>
      </c>
      <c r="D32" s="128" t="str">
        <f>Competitors!F22</f>
        <v xml:space="preserve">  </v>
      </c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30"/>
      <c r="Q32" s="161"/>
      <c r="R32" s="162"/>
      <c r="S32" s="162"/>
      <c r="T32" s="162"/>
      <c r="U32" s="162"/>
      <c r="V32" s="162"/>
      <c r="W32" s="162"/>
      <c r="X32" s="162"/>
      <c r="Y32" s="162"/>
      <c r="Z32" s="163"/>
      <c r="AA32" s="161"/>
      <c r="AB32" s="162"/>
      <c r="AC32" s="162"/>
      <c r="AD32" s="162"/>
      <c r="AE32" s="163"/>
    </row>
    <row r="33" spans="2:31" s="23" customFormat="1" ht="24.75" hidden="1" customHeight="1" x14ac:dyDescent="0.2">
      <c r="B33" s="79">
        <v>23</v>
      </c>
      <c r="C33" s="80" t="s">
        <v>13</v>
      </c>
      <c r="D33" s="128" t="str">
        <f>Competitors!F23</f>
        <v xml:space="preserve">  </v>
      </c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30"/>
      <c r="Q33" s="161"/>
      <c r="R33" s="162"/>
      <c r="S33" s="162"/>
      <c r="T33" s="162"/>
      <c r="U33" s="162"/>
      <c r="V33" s="162"/>
      <c r="W33" s="162"/>
      <c r="X33" s="162"/>
      <c r="Y33" s="162"/>
      <c r="Z33" s="163"/>
      <c r="AA33" s="161"/>
      <c r="AB33" s="162"/>
      <c r="AC33" s="162"/>
      <c r="AD33" s="162"/>
      <c r="AE33" s="163"/>
    </row>
    <row r="34" spans="2:31" s="23" customFormat="1" ht="24.75" hidden="1" customHeight="1" x14ac:dyDescent="0.2">
      <c r="B34" s="79">
        <v>24</v>
      </c>
      <c r="C34" s="80" t="s">
        <v>13</v>
      </c>
      <c r="D34" s="128" t="str">
        <f>Competitors!F24</f>
        <v xml:space="preserve">  </v>
      </c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30"/>
      <c r="Q34" s="161"/>
      <c r="R34" s="162"/>
      <c r="S34" s="162"/>
      <c r="T34" s="162"/>
      <c r="U34" s="162"/>
      <c r="V34" s="162"/>
      <c r="W34" s="162"/>
      <c r="X34" s="162"/>
      <c r="Y34" s="162"/>
      <c r="Z34" s="163"/>
      <c r="AA34" s="161"/>
      <c r="AB34" s="162"/>
      <c r="AC34" s="162"/>
      <c r="AD34" s="162"/>
      <c r="AE34" s="163"/>
    </row>
    <row r="35" spans="2:31" s="23" customFormat="1" ht="24.75" hidden="1" customHeight="1" x14ac:dyDescent="0.2">
      <c r="B35" s="79">
        <v>25</v>
      </c>
      <c r="C35" s="80" t="s">
        <v>13</v>
      </c>
      <c r="D35" s="128" t="str">
        <f>Competitors!F25</f>
        <v xml:space="preserve">  </v>
      </c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30"/>
      <c r="Q35" s="161"/>
      <c r="R35" s="162"/>
      <c r="S35" s="162"/>
      <c r="T35" s="162"/>
      <c r="U35" s="162"/>
      <c r="V35" s="162"/>
      <c r="W35" s="162"/>
      <c r="X35" s="162"/>
      <c r="Y35" s="162"/>
      <c r="Z35" s="163"/>
      <c r="AA35" s="161"/>
      <c r="AB35" s="162"/>
      <c r="AC35" s="162"/>
      <c r="AD35" s="162"/>
      <c r="AE35" s="163"/>
    </row>
    <row r="36" spans="2:31" s="23" customFormat="1" ht="24.75" customHeight="1" x14ac:dyDescent="0.2">
      <c r="B36" s="81"/>
      <c r="C36" s="81"/>
      <c r="D36" s="24"/>
      <c r="E36" s="24"/>
      <c r="F36" s="82"/>
      <c r="G36" s="82"/>
      <c r="H36" s="24"/>
      <c r="I36" s="82"/>
      <c r="J36" s="82"/>
      <c r="K36" s="82"/>
      <c r="L36" s="82"/>
      <c r="M36" s="24"/>
      <c r="N36" s="82"/>
      <c r="O36" s="82"/>
      <c r="P36" s="82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</row>
    <row r="37" spans="2:31" x14ac:dyDescent="0.15">
      <c r="B37" s="115" t="s">
        <v>14</v>
      </c>
      <c r="C37" s="115"/>
      <c r="D37" s="115"/>
      <c r="E37" s="115"/>
      <c r="F37" s="169">
        <f>Чемп!B8</f>
        <v>44433</v>
      </c>
      <c r="G37" s="169"/>
      <c r="H37" s="169"/>
      <c r="I37" s="169"/>
      <c r="J37" s="169"/>
      <c r="K37" s="169"/>
      <c r="L37" s="169"/>
      <c r="M37" s="38"/>
      <c r="N37" s="38"/>
      <c r="O37" s="42" t="s">
        <v>53</v>
      </c>
      <c r="P37" s="42"/>
      <c r="Q37" s="42"/>
      <c r="R37" s="42"/>
      <c r="S37" s="42"/>
      <c r="T37" s="42"/>
      <c r="U37" s="42"/>
      <c r="Z37" s="114"/>
      <c r="AA37" s="114"/>
      <c r="AB37" s="114"/>
      <c r="AC37" s="114"/>
      <c r="AD37" s="114"/>
      <c r="AE37" s="114"/>
    </row>
    <row r="38" spans="2:31" x14ac:dyDescent="0.15">
      <c r="Z38" s="166" t="s">
        <v>16</v>
      </c>
      <c r="AA38" s="166"/>
      <c r="AB38" s="166"/>
      <c r="AC38" s="166"/>
      <c r="AD38" s="166"/>
      <c r="AE38" s="166"/>
    </row>
  </sheetData>
  <protectedRanges>
    <protectedRange sqref="A6" name="Диапазон1" securityDescriptor="O:WDG:WDD:(A;;CC;;;WD)"/>
  </protectedRanges>
  <mergeCells count="96">
    <mergeCell ref="Z38:AE38"/>
    <mergeCell ref="B6:M6"/>
    <mergeCell ref="A4:A5"/>
    <mergeCell ref="D35:P35"/>
    <mergeCell ref="Q35:Z35"/>
    <mergeCell ref="AA35:AE35"/>
    <mergeCell ref="B37:E37"/>
    <mergeCell ref="F37:L37"/>
    <mergeCell ref="Z37:AE37"/>
    <mergeCell ref="D33:P33"/>
    <mergeCell ref="Q33:Z33"/>
    <mergeCell ref="AA33:AE33"/>
    <mergeCell ref="D34:P34"/>
    <mergeCell ref="Q34:Z34"/>
    <mergeCell ref="AA34:AE34"/>
    <mergeCell ref="D31:P31"/>
    <mergeCell ref="Q31:Z31"/>
    <mergeCell ref="AA31:AE31"/>
    <mergeCell ref="D32:P32"/>
    <mergeCell ref="Q32:Z32"/>
    <mergeCell ref="AA32:AE32"/>
    <mergeCell ref="D29:P29"/>
    <mergeCell ref="Q29:Z29"/>
    <mergeCell ref="AA29:AE29"/>
    <mergeCell ref="D30:P30"/>
    <mergeCell ref="Q30:Z30"/>
    <mergeCell ref="AA30:AE30"/>
    <mergeCell ref="D27:P27"/>
    <mergeCell ref="Q27:Z27"/>
    <mergeCell ref="AA27:AE27"/>
    <mergeCell ref="D28:P28"/>
    <mergeCell ref="Q28:Z28"/>
    <mergeCell ref="AA28:AE28"/>
    <mergeCell ref="D25:P25"/>
    <mergeCell ref="Q25:Z25"/>
    <mergeCell ref="AA25:AE25"/>
    <mergeCell ref="D26:P26"/>
    <mergeCell ref="Q26:Z26"/>
    <mergeCell ref="AA26:AE26"/>
    <mergeCell ref="D23:P23"/>
    <mergeCell ref="Q23:Z23"/>
    <mergeCell ref="AA23:AE23"/>
    <mergeCell ref="D24:P24"/>
    <mergeCell ref="Q24:Z24"/>
    <mergeCell ref="AA24:AE24"/>
    <mergeCell ref="D21:P21"/>
    <mergeCell ref="Q21:Z21"/>
    <mergeCell ref="AA21:AE21"/>
    <mergeCell ref="D22:P22"/>
    <mergeCell ref="Q22:Z22"/>
    <mergeCell ref="AA22:AE22"/>
    <mergeCell ref="D19:P19"/>
    <mergeCell ref="Q19:Z19"/>
    <mergeCell ref="AA19:AE19"/>
    <mergeCell ref="D20:P20"/>
    <mergeCell ref="Q20:Z20"/>
    <mergeCell ref="AA20:AE20"/>
    <mergeCell ref="D17:P17"/>
    <mergeCell ref="Q17:Z17"/>
    <mergeCell ref="AA17:AE17"/>
    <mergeCell ref="D18:P18"/>
    <mergeCell ref="Q18:Z18"/>
    <mergeCell ref="AA18:AE18"/>
    <mergeCell ref="D13:P13"/>
    <mergeCell ref="Q13:Z13"/>
    <mergeCell ref="AA13:AE13"/>
    <mergeCell ref="D16:P16"/>
    <mergeCell ref="Q16:Z16"/>
    <mergeCell ref="AA16:AE16"/>
    <mergeCell ref="D14:P14"/>
    <mergeCell ref="D15:P15"/>
    <mergeCell ref="Q14:Z14"/>
    <mergeCell ref="Q15:Z15"/>
    <mergeCell ref="AA14:AE14"/>
    <mergeCell ref="AA15:AE15"/>
    <mergeCell ref="D11:P11"/>
    <mergeCell ref="Q11:Z11"/>
    <mergeCell ref="AA11:AE11"/>
    <mergeCell ref="D12:P12"/>
    <mergeCell ref="Q12:Z12"/>
    <mergeCell ref="AA12:AE12"/>
    <mergeCell ref="D9:P9"/>
    <mergeCell ref="Q9:Z9"/>
    <mergeCell ref="AA9:AE9"/>
    <mergeCell ref="D10:P10"/>
    <mergeCell ref="Q10:Z10"/>
    <mergeCell ref="AA10:AE10"/>
    <mergeCell ref="B8:C8"/>
    <mergeCell ref="D8:P8"/>
    <mergeCell ref="Q8:Z8"/>
    <mergeCell ref="AA8:AE8"/>
    <mergeCell ref="D2:AC2"/>
    <mergeCell ref="B3:J3"/>
    <mergeCell ref="K3:AE3"/>
    <mergeCell ref="B4:J4"/>
    <mergeCell ref="B5:M5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AF36"/>
  <sheetViews>
    <sheetView view="pageBreakPreview" topLeftCell="A2" zoomScale="80" zoomScaleNormal="100" zoomScaleSheetLayoutView="80" zoomScalePageLayoutView="90" workbookViewId="0">
      <selection activeCell="D22" sqref="D22:P22"/>
    </sheetView>
  </sheetViews>
  <sheetFormatPr defaultColWidth="9.14453125" defaultRowHeight="13.5" x14ac:dyDescent="0.15"/>
  <cols>
    <col min="1" max="1" width="9.4140625" style="28" customWidth="1"/>
    <col min="2" max="2" width="4.5703125" style="28" customWidth="1"/>
    <col min="3" max="3" width="1.4765625" style="28" customWidth="1"/>
    <col min="4" max="7" width="3.09375" style="28" customWidth="1"/>
    <col min="8" max="8" width="1.4765625" style="28" customWidth="1"/>
    <col min="9" max="9" width="3.09375" style="28" customWidth="1"/>
    <col min="10" max="10" width="4.5703125" style="28" customWidth="1"/>
    <col min="11" max="12" width="3.09375" style="28" customWidth="1"/>
    <col min="13" max="13" width="2.5546875" style="28" customWidth="1"/>
    <col min="14" max="14" width="2.82421875" style="28" customWidth="1"/>
    <col min="15" max="16" width="3.09375" style="28" customWidth="1"/>
    <col min="17" max="19" width="2.41796875" style="28" customWidth="1"/>
    <col min="20" max="21" width="3.09375" style="28" customWidth="1"/>
    <col min="22" max="26" width="2.41796875" style="28" customWidth="1"/>
    <col min="27" max="29" width="4.16796875" style="28" customWidth="1"/>
    <col min="30" max="30" width="3.359375" style="28" customWidth="1"/>
    <col min="31" max="31" width="3.2265625" style="28" customWidth="1"/>
    <col min="32" max="32" width="2.41796875" style="28" customWidth="1"/>
    <col min="33" max="35" width="3.09375" style="28" customWidth="1"/>
    <col min="36" max="16384" width="9.14453125" style="28"/>
  </cols>
  <sheetData>
    <row r="1" spans="1:32" ht="28.35" customHeight="1" x14ac:dyDescent="0.15"/>
    <row r="2" spans="1:32" ht="18" x14ac:dyDescent="0.2">
      <c r="C2" s="121" t="s">
        <v>84</v>
      </c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45"/>
      <c r="AF2" s="45"/>
    </row>
    <row r="3" spans="1:32" ht="42.75" customHeight="1" x14ac:dyDescent="0.15">
      <c r="C3" s="122" t="s">
        <v>18</v>
      </c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46"/>
      <c r="AF3" s="44"/>
    </row>
    <row r="4" spans="1:32" ht="45.6" customHeight="1" x14ac:dyDescent="0.15">
      <c r="B4" s="123" t="s">
        <v>3</v>
      </c>
      <c r="C4" s="123"/>
      <c r="D4" s="123"/>
      <c r="E4" s="123"/>
      <c r="F4" s="123"/>
      <c r="G4" s="123"/>
      <c r="H4" s="123"/>
      <c r="I4" s="123"/>
      <c r="J4" s="123"/>
      <c r="K4" s="124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4"/>
      <c r="AF4" s="12"/>
    </row>
    <row r="5" spans="1:32" ht="24.75" customHeight="1" x14ac:dyDescent="0.15">
      <c r="B5" s="123" t="s">
        <v>6</v>
      </c>
      <c r="C5" s="123"/>
      <c r="D5" s="123"/>
      <c r="E5" s="123"/>
      <c r="F5" s="123"/>
      <c r="G5" s="123"/>
      <c r="H5" s="123"/>
      <c r="I5" s="123"/>
      <c r="J5" s="123"/>
      <c r="K5" s="11" t="str">
        <f>CONCATENATE(Чемп!B4," ",Чемп!C4)</f>
        <v>№ (заполнить) Название (заполнить)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ht="21.75" customHeight="1" x14ac:dyDescent="0.15">
      <c r="B6" s="123" t="s">
        <v>106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1" t="str">
        <f>CONCATENATE(Experts!B1," ",Experts!C1," ",Experts!D1)</f>
        <v>Фамилия Имя Отчество</v>
      </c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ht="21.75" customHeight="1" x14ac:dyDescent="0.3">
      <c r="A7" s="39">
        <v>1</v>
      </c>
      <c r="B7" s="123" t="s">
        <v>8</v>
      </c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3" t="str">
        <f>VLOOKUP(A7,Experts!E1:F50,2)</f>
        <v>Фамилия Имя Отчество</v>
      </c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</row>
    <row r="9" spans="1:32" ht="90.6" customHeight="1" x14ac:dyDescent="0.15">
      <c r="B9" s="176" t="s">
        <v>9</v>
      </c>
      <c r="C9" s="176"/>
      <c r="D9" s="177" t="s">
        <v>59</v>
      </c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8" t="s">
        <v>10</v>
      </c>
      <c r="R9" s="179"/>
      <c r="S9" s="179"/>
      <c r="T9" s="179"/>
      <c r="U9" s="179"/>
      <c r="V9" s="180"/>
      <c r="W9" s="181" t="s">
        <v>108</v>
      </c>
      <c r="X9" s="181"/>
      <c r="Y9" s="181"/>
      <c r="Z9" s="181"/>
      <c r="AA9" s="181"/>
      <c r="AB9" s="178" t="s">
        <v>109</v>
      </c>
      <c r="AC9" s="179"/>
      <c r="AD9" s="179"/>
      <c r="AE9" s="180"/>
    </row>
    <row r="10" spans="1:32" ht="18.75" customHeight="1" x14ac:dyDescent="0.15">
      <c r="B10" s="35">
        <v>1</v>
      </c>
      <c r="C10" s="36" t="s">
        <v>13</v>
      </c>
      <c r="D10" s="170" t="str">
        <f>Competitors!F1</f>
        <v>Фамилия Имя Отчество</v>
      </c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2"/>
      <c r="Q10" s="173"/>
      <c r="R10" s="174"/>
      <c r="S10" s="174"/>
      <c r="T10" s="174"/>
      <c r="U10" s="174"/>
      <c r="V10" s="175"/>
      <c r="W10" s="173"/>
      <c r="X10" s="174"/>
      <c r="Y10" s="174"/>
      <c r="Z10" s="174"/>
      <c r="AA10" s="175"/>
      <c r="AB10" s="173"/>
      <c r="AC10" s="174"/>
      <c r="AD10" s="174"/>
      <c r="AE10" s="175"/>
    </row>
    <row r="11" spans="1:32" ht="18.75" customHeight="1" x14ac:dyDescent="0.15">
      <c r="B11" s="35">
        <v>2</v>
      </c>
      <c r="C11" s="36" t="s">
        <v>13</v>
      </c>
      <c r="D11" s="170" t="str">
        <f>Competitors!F2</f>
        <v>Фамилия Имя Отчество</v>
      </c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2"/>
      <c r="Q11" s="173"/>
      <c r="R11" s="174"/>
      <c r="S11" s="174"/>
      <c r="T11" s="174"/>
      <c r="U11" s="174"/>
      <c r="V11" s="175"/>
      <c r="W11" s="173"/>
      <c r="X11" s="174"/>
      <c r="Y11" s="174"/>
      <c r="Z11" s="174"/>
      <c r="AA11" s="175"/>
      <c r="AB11" s="173"/>
      <c r="AC11" s="174"/>
      <c r="AD11" s="174"/>
      <c r="AE11" s="175"/>
    </row>
    <row r="12" spans="1:32" ht="18.75" customHeight="1" x14ac:dyDescent="0.15">
      <c r="B12" s="35">
        <v>3</v>
      </c>
      <c r="C12" s="36" t="s">
        <v>13</v>
      </c>
      <c r="D12" s="170" t="str">
        <f>Competitors!F3</f>
        <v>Фамилия Имя Отчество</v>
      </c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2"/>
      <c r="Q12" s="173"/>
      <c r="R12" s="174"/>
      <c r="S12" s="174"/>
      <c r="T12" s="174"/>
      <c r="U12" s="174"/>
      <c r="V12" s="175"/>
      <c r="W12" s="173"/>
      <c r="X12" s="174"/>
      <c r="Y12" s="174"/>
      <c r="Z12" s="174"/>
      <c r="AA12" s="175"/>
      <c r="AB12" s="173"/>
      <c r="AC12" s="174"/>
      <c r="AD12" s="174"/>
      <c r="AE12" s="175"/>
    </row>
    <row r="13" spans="1:32" ht="18.75" customHeight="1" x14ac:dyDescent="0.15">
      <c r="B13" s="35">
        <v>4</v>
      </c>
      <c r="C13" s="36" t="s">
        <v>13</v>
      </c>
      <c r="D13" s="170" t="str">
        <f>Competitors!F4</f>
        <v>Фамилия Имя Отчество</v>
      </c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2"/>
      <c r="Q13" s="173"/>
      <c r="R13" s="174"/>
      <c r="S13" s="174"/>
      <c r="T13" s="174"/>
      <c r="U13" s="174"/>
      <c r="V13" s="175"/>
      <c r="W13" s="173"/>
      <c r="X13" s="174"/>
      <c r="Y13" s="174"/>
      <c r="Z13" s="174"/>
      <c r="AA13" s="175"/>
      <c r="AB13" s="173"/>
      <c r="AC13" s="174"/>
      <c r="AD13" s="174"/>
      <c r="AE13" s="175"/>
    </row>
    <row r="14" spans="1:32" ht="18.75" customHeight="1" x14ac:dyDescent="0.15">
      <c r="B14" s="35">
        <v>5</v>
      </c>
      <c r="C14" s="36" t="s">
        <v>13</v>
      </c>
      <c r="D14" s="170" t="str">
        <f>Competitors!F5</f>
        <v>Фамилия Имя Отчество</v>
      </c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2"/>
      <c r="Q14" s="173"/>
      <c r="R14" s="174"/>
      <c r="S14" s="174"/>
      <c r="T14" s="174"/>
      <c r="U14" s="174"/>
      <c r="V14" s="175"/>
      <c r="W14" s="173"/>
      <c r="X14" s="174"/>
      <c r="Y14" s="174"/>
      <c r="Z14" s="174"/>
      <c r="AA14" s="175"/>
      <c r="AB14" s="173"/>
      <c r="AC14" s="174"/>
      <c r="AD14" s="174"/>
      <c r="AE14" s="175"/>
    </row>
    <row r="15" spans="1:32" ht="18.75" customHeight="1" x14ac:dyDescent="0.15">
      <c r="B15" s="35">
        <v>6</v>
      </c>
      <c r="C15" s="36" t="s">
        <v>13</v>
      </c>
      <c r="D15" s="170" t="str">
        <f>Competitors!F6</f>
        <v>Фамилия Имя Отчество</v>
      </c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2"/>
      <c r="Q15" s="173"/>
      <c r="R15" s="174"/>
      <c r="S15" s="174"/>
      <c r="T15" s="174"/>
      <c r="U15" s="174"/>
      <c r="V15" s="175"/>
      <c r="W15" s="173"/>
      <c r="X15" s="174"/>
      <c r="Y15" s="174"/>
      <c r="Z15" s="174"/>
      <c r="AA15" s="175"/>
      <c r="AB15" s="173"/>
      <c r="AC15" s="174"/>
      <c r="AD15" s="174"/>
      <c r="AE15" s="175"/>
    </row>
    <row r="16" spans="1:32" ht="18.75" customHeight="1" x14ac:dyDescent="0.15">
      <c r="B16" s="35">
        <v>7</v>
      </c>
      <c r="C16" s="36" t="s">
        <v>13</v>
      </c>
      <c r="D16" s="170" t="str">
        <f>Competitors!F7</f>
        <v>Фамилия Имя Отчество</v>
      </c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2"/>
      <c r="Q16" s="173"/>
      <c r="R16" s="174"/>
      <c r="S16" s="174"/>
      <c r="T16" s="174"/>
      <c r="U16" s="174"/>
      <c r="V16" s="175"/>
      <c r="W16" s="173"/>
      <c r="X16" s="174"/>
      <c r="Y16" s="174"/>
      <c r="Z16" s="174"/>
      <c r="AA16" s="175"/>
      <c r="AB16" s="173"/>
      <c r="AC16" s="174"/>
      <c r="AD16" s="174"/>
      <c r="AE16" s="175"/>
    </row>
    <row r="17" spans="2:31" ht="18.75" customHeight="1" x14ac:dyDescent="0.15">
      <c r="B17" s="35">
        <v>8</v>
      </c>
      <c r="C17" s="36" t="s">
        <v>13</v>
      </c>
      <c r="D17" s="170" t="str">
        <f>Competitors!F8</f>
        <v>Фамилия Имя Отчество</v>
      </c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2"/>
      <c r="Q17" s="173"/>
      <c r="R17" s="174"/>
      <c r="S17" s="174"/>
      <c r="T17" s="174"/>
      <c r="U17" s="174"/>
      <c r="V17" s="175"/>
      <c r="W17" s="173"/>
      <c r="X17" s="174"/>
      <c r="Y17" s="174"/>
      <c r="Z17" s="174"/>
      <c r="AA17" s="175"/>
      <c r="AB17" s="173"/>
      <c r="AC17" s="174"/>
      <c r="AD17" s="174"/>
      <c r="AE17" s="175"/>
    </row>
    <row r="18" spans="2:31" ht="18.75" customHeight="1" x14ac:dyDescent="0.15">
      <c r="B18" s="35">
        <v>7</v>
      </c>
      <c r="C18" s="36" t="s">
        <v>13</v>
      </c>
      <c r="D18" s="170" t="str">
        <f>Competitors!F9</f>
        <v>Фамилия Имя Отчество</v>
      </c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2"/>
      <c r="Q18" s="173"/>
      <c r="R18" s="174"/>
      <c r="S18" s="174"/>
      <c r="T18" s="174"/>
      <c r="U18" s="174"/>
      <c r="V18" s="175"/>
      <c r="W18" s="173"/>
      <c r="X18" s="174"/>
      <c r="Y18" s="174"/>
      <c r="Z18" s="174"/>
      <c r="AA18" s="175"/>
      <c r="AB18" s="173"/>
      <c r="AC18" s="174"/>
      <c r="AD18" s="174"/>
      <c r="AE18" s="175"/>
    </row>
    <row r="19" spans="2:31" ht="18.75" customHeight="1" x14ac:dyDescent="0.15">
      <c r="B19" s="35">
        <v>8</v>
      </c>
      <c r="C19" s="36" t="s">
        <v>13</v>
      </c>
      <c r="D19" s="170" t="str">
        <f>Competitors!F8</f>
        <v>Фамилия Имя Отчество</v>
      </c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2"/>
      <c r="Q19" s="173"/>
      <c r="R19" s="174"/>
      <c r="S19" s="174"/>
      <c r="T19" s="174"/>
      <c r="U19" s="174"/>
      <c r="V19" s="175"/>
      <c r="W19" s="173"/>
      <c r="X19" s="174"/>
      <c r="Y19" s="174"/>
      <c r="Z19" s="174"/>
      <c r="AA19" s="175"/>
      <c r="AB19" s="173"/>
      <c r="AC19" s="174"/>
      <c r="AD19" s="174"/>
      <c r="AE19" s="175"/>
    </row>
    <row r="20" spans="2:31" ht="18.75" customHeight="1" x14ac:dyDescent="0.15">
      <c r="B20" s="35">
        <v>9</v>
      </c>
      <c r="C20" s="36" t="s">
        <v>13</v>
      </c>
      <c r="D20" s="170" t="str">
        <f>Competitors!F9</f>
        <v>Фамилия Имя Отчество</v>
      </c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2"/>
      <c r="Q20" s="173"/>
      <c r="R20" s="174"/>
      <c r="S20" s="174"/>
      <c r="T20" s="174"/>
      <c r="U20" s="174"/>
      <c r="V20" s="175"/>
      <c r="W20" s="173"/>
      <c r="X20" s="174"/>
      <c r="Y20" s="174"/>
      <c r="Z20" s="174"/>
      <c r="AA20" s="175"/>
      <c r="AB20" s="173"/>
      <c r="AC20" s="174"/>
      <c r="AD20" s="174"/>
      <c r="AE20" s="175"/>
    </row>
    <row r="21" spans="2:31" ht="18.75" customHeight="1" x14ac:dyDescent="0.15">
      <c r="B21" s="35">
        <v>10</v>
      </c>
      <c r="C21" s="36" t="s">
        <v>13</v>
      </c>
      <c r="D21" s="170" t="str">
        <f>Competitors!F10</f>
        <v>Фамилия Имя Отчество</v>
      </c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2"/>
      <c r="Q21" s="173"/>
      <c r="R21" s="174"/>
      <c r="S21" s="174"/>
      <c r="T21" s="174"/>
      <c r="U21" s="174"/>
      <c r="V21" s="175"/>
      <c r="W21" s="173"/>
      <c r="X21" s="174"/>
      <c r="Y21" s="174"/>
      <c r="Z21" s="174"/>
      <c r="AA21" s="175"/>
      <c r="AB21" s="173"/>
      <c r="AC21" s="174"/>
      <c r="AD21" s="174"/>
      <c r="AE21" s="175"/>
    </row>
    <row r="22" spans="2:31" ht="18.75" customHeight="1" x14ac:dyDescent="0.15">
      <c r="B22" s="35">
        <v>11</v>
      </c>
      <c r="C22" s="36" t="s">
        <v>13</v>
      </c>
      <c r="D22" s="170" t="str">
        <f>Competitors!F11</f>
        <v>Фамилия Имя Отчество</v>
      </c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2"/>
      <c r="Q22" s="173"/>
      <c r="R22" s="174"/>
      <c r="S22" s="174"/>
      <c r="T22" s="174"/>
      <c r="U22" s="174"/>
      <c r="V22" s="175"/>
      <c r="W22" s="173"/>
      <c r="X22" s="174"/>
      <c r="Y22" s="174"/>
      <c r="Z22" s="174"/>
      <c r="AA22" s="175"/>
      <c r="AB22" s="173"/>
      <c r="AC22" s="174"/>
      <c r="AD22" s="174"/>
      <c r="AE22" s="175"/>
    </row>
    <row r="23" spans="2:31" ht="18.75" customHeight="1" x14ac:dyDescent="0.15">
      <c r="B23" s="35">
        <v>12</v>
      </c>
      <c r="C23" s="36" t="s">
        <v>13</v>
      </c>
      <c r="D23" s="170" t="str">
        <f>Competitors!F12</f>
        <v>Фамилия Имя Отчество</v>
      </c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2"/>
      <c r="Q23" s="173"/>
      <c r="R23" s="174"/>
      <c r="S23" s="174"/>
      <c r="T23" s="174"/>
      <c r="U23" s="174"/>
      <c r="V23" s="175"/>
      <c r="W23" s="173"/>
      <c r="X23" s="174"/>
      <c r="Y23" s="174"/>
      <c r="Z23" s="174"/>
      <c r="AA23" s="175"/>
      <c r="AB23" s="173"/>
      <c r="AC23" s="174"/>
      <c r="AD23" s="174"/>
      <c r="AE23" s="175"/>
    </row>
    <row r="24" spans="2:31" ht="18.75" customHeight="1" x14ac:dyDescent="0.15">
      <c r="B24" s="35">
        <v>13</v>
      </c>
      <c r="C24" s="36" t="s">
        <v>13</v>
      </c>
      <c r="D24" s="170" t="str">
        <f>Competitors!F13</f>
        <v>Фамилия Имя Отчество</v>
      </c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2"/>
      <c r="Q24" s="173"/>
      <c r="R24" s="174"/>
      <c r="S24" s="174"/>
      <c r="T24" s="174"/>
      <c r="U24" s="174"/>
      <c r="V24" s="175"/>
      <c r="W24" s="173"/>
      <c r="X24" s="174"/>
      <c r="Y24" s="174"/>
      <c r="Z24" s="174"/>
      <c r="AA24" s="175"/>
      <c r="AB24" s="173"/>
      <c r="AC24" s="174"/>
      <c r="AD24" s="174"/>
      <c r="AE24" s="175"/>
    </row>
    <row r="25" spans="2:31" ht="18.75" customHeight="1" x14ac:dyDescent="0.15">
      <c r="B25" s="35">
        <v>14</v>
      </c>
      <c r="C25" s="36" t="s">
        <v>13</v>
      </c>
      <c r="D25" s="170" t="str">
        <f>Competitors!F14</f>
        <v>Фамилия Имя Отчество</v>
      </c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2"/>
      <c r="Q25" s="173"/>
      <c r="R25" s="174"/>
      <c r="S25" s="174"/>
      <c r="T25" s="174"/>
      <c r="U25" s="174"/>
      <c r="V25" s="175"/>
      <c r="W25" s="173"/>
      <c r="X25" s="174"/>
      <c r="Y25" s="174"/>
      <c r="Z25" s="174"/>
      <c r="AA25" s="175"/>
      <c r="AB25" s="173"/>
      <c r="AC25" s="174"/>
      <c r="AD25" s="174"/>
      <c r="AE25" s="175"/>
    </row>
    <row r="26" spans="2:31" ht="18.75" customHeight="1" x14ac:dyDescent="0.15">
      <c r="B26" s="35">
        <v>15</v>
      </c>
      <c r="C26" s="36" t="s">
        <v>13</v>
      </c>
      <c r="D26" s="170" t="str">
        <f>Competitors!F15</f>
        <v xml:space="preserve">  </v>
      </c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2"/>
      <c r="Q26" s="173"/>
      <c r="R26" s="174"/>
      <c r="S26" s="174"/>
      <c r="T26" s="174"/>
      <c r="U26" s="174"/>
      <c r="V26" s="175"/>
      <c r="W26" s="173"/>
      <c r="X26" s="174"/>
      <c r="Y26" s="174"/>
      <c r="Z26" s="174"/>
      <c r="AA26" s="175"/>
      <c r="AB26" s="173"/>
      <c r="AC26" s="174"/>
      <c r="AD26" s="174"/>
      <c r="AE26" s="175"/>
    </row>
    <row r="27" spans="2:31" ht="18.75" customHeight="1" x14ac:dyDescent="0.15">
      <c r="B27" s="35">
        <v>16</v>
      </c>
      <c r="C27" s="36" t="s">
        <v>13</v>
      </c>
      <c r="D27" s="170" t="str">
        <f>Competitors!F16</f>
        <v xml:space="preserve">  </v>
      </c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2"/>
      <c r="Q27" s="173"/>
      <c r="R27" s="174"/>
      <c r="S27" s="174"/>
      <c r="T27" s="174"/>
      <c r="U27" s="174"/>
      <c r="V27" s="175"/>
      <c r="W27" s="173"/>
      <c r="X27" s="174"/>
      <c r="Y27" s="174"/>
      <c r="Z27" s="174"/>
      <c r="AA27" s="175"/>
      <c r="AB27" s="173"/>
      <c r="AC27" s="174"/>
      <c r="AD27" s="174"/>
      <c r="AE27" s="175"/>
    </row>
    <row r="28" spans="2:31" ht="18.75" customHeight="1" x14ac:dyDescent="0.15">
      <c r="B28" s="35">
        <v>17</v>
      </c>
      <c r="C28" s="36" t="s">
        <v>13</v>
      </c>
      <c r="D28" s="170" t="str">
        <f>Competitors!F17</f>
        <v xml:space="preserve">  </v>
      </c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2"/>
      <c r="Q28" s="173"/>
      <c r="R28" s="174"/>
      <c r="S28" s="174"/>
      <c r="T28" s="174"/>
      <c r="U28" s="174"/>
      <c r="V28" s="175"/>
      <c r="W28" s="173"/>
      <c r="X28" s="174"/>
      <c r="Y28" s="174"/>
      <c r="Z28" s="174"/>
      <c r="AA28" s="175"/>
      <c r="AB28" s="173"/>
      <c r="AC28" s="174"/>
      <c r="AD28" s="174"/>
      <c r="AE28" s="175"/>
    </row>
    <row r="29" spans="2:31" ht="18.75" customHeight="1" x14ac:dyDescent="0.15">
      <c r="B29" s="35">
        <v>18</v>
      </c>
      <c r="C29" s="36" t="s">
        <v>13</v>
      </c>
      <c r="D29" s="170" t="str">
        <f>Competitors!F18</f>
        <v xml:space="preserve">  </v>
      </c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2"/>
      <c r="Q29" s="173"/>
      <c r="R29" s="174"/>
      <c r="S29" s="174"/>
      <c r="T29" s="174"/>
      <c r="U29" s="174"/>
      <c r="V29" s="175"/>
      <c r="W29" s="173"/>
      <c r="X29" s="174"/>
      <c r="Y29" s="174"/>
      <c r="Z29" s="174"/>
      <c r="AA29" s="175"/>
      <c r="AB29" s="173"/>
      <c r="AC29" s="174"/>
      <c r="AD29" s="174"/>
      <c r="AE29" s="175"/>
    </row>
    <row r="30" spans="2:31" ht="18.75" customHeight="1" x14ac:dyDescent="0.15">
      <c r="B30" s="35">
        <v>19</v>
      </c>
      <c r="C30" s="36" t="s">
        <v>13</v>
      </c>
      <c r="D30" s="170" t="str">
        <f>Competitors!F19</f>
        <v xml:space="preserve">  </v>
      </c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2"/>
      <c r="Q30" s="173"/>
      <c r="R30" s="174"/>
      <c r="S30" s="174"/>
      <c r="T30" s="174"/>
      <c r="U30" s="174"/>
      <c r="V30" s="175"/>
      <c r="W30" s="173"/>
      <c r="X30" s="174"/>
      <c r="Y30" s="174"/>
      <c r="Z30" s="174"/>
      <c r="AA30" s="175"/>
      <c r="AB30" s="173"/>
      <c r="AC30" s="174"/>
      <c r="AD30" s="174"/>
      <c r="AE30" s="175"/>
    </row>
    <row r="31" spans="2:31" ht="18.75" customHeight="1" x14ac:dyDescent="0.15">
      <c r="B31" s="35">
        <v>20</v>
      </c>
      <c r="C31" s="36" t="s">
        <v>13</v>
      </c>
      <c r="D31" s="170" t="str">
        <f>Competitors!F20</f>
        <v xml:space="preserve">  </v>
      </c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2"/>
      <c r="Q31" s="173"/>
      <c r="R31" s="174"/>
      <c r="S31" s="174"/>
      <c r="T31" s="174"/>
      <c r="U31" s="174"/>
      <c r="V31" s="175"/>
      <c r="W31" s="173"/>
      <c r="X31" s="174"/>
      <c r="Y31" s="174"/>
      <c r="Z31" s="174"/>
      <c r="AA31" s="175"/>
      <c r="AB31" s="173"/>
      <c r="AC31" s="174"/>
      <c r="AD31" s="174"/>
      <c r="AE31" s="175"/>
    </row>
    <row r="32" spans="2:31" ht="18.75" customHeight="1" x14ac:dyDescent="0.15">
      <c r="B32" s="35">
        <v>21</v>
      </c>
      <c r="C32" s="36" t="s">
        <v>13</v>
      </c>
      <c r="D32" s="170" t="str">
        <f>Competitors!F21</f>
        <v xml:space="preserve">  </v>
      </c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2"/>
      <c r="Q32" s="173"/>
      <c r="R32" s="174"/>
      <c r="S32" s="174"/>
      <c r="T32" s="174"/>
      <c r="U32" s="174"/>
      <c r="V32" s="175"/>
      <c r="W32" s="173"/>
      <c r="X32" s="174"/>
      <c r="Y32" s="174"/>
      <c r="Z32" s="174"/>
      <c r="AA32" s="175"/>
      <c r="AB32" s="173"/>
      <c r="AC32" s="174"/>
      <c r="AD32" s="174"/>
      <c r="AE32" s="175"/>
    </row>
    <row r="33" spans="1:31" ht="18.75" customHeight="1" x14ac:dyDescent="0.15">
      <c r="B33" s="35">
        <v>22</v>
      </c>
      <c r="C33" s="36" t="s">
        <v>13</v>
      </c>
      <c r="D33" s="170" t="str">
        <f>Competitors!F22</f>
        <v xml:space="preserve">  </v>
      </c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2"/>
      <c r="Q33" s="173"/>
      <c r="R33" s="174"/>
      <c r="S33" s="174"/>
      <c r="T33" s="174"/>
      <c r="U33" s="174"/>
      <c r="V33" s="175"/>
      <c r="W33" s="173"/>
      <c r="X33" s="174"/>
      <c r="Y33" s="174"/>
      <c r="Z33" s="174"/>
      <c r="AA33" s="175"/>
      <c r="AB33" s="173"/>
      <c r="AC33" s="174"/>
      <c r="AD33" s="174"/>
      <c r="AE33" s="175"/>
    </row>
    <row r="34" spans="1:31" ht="15" customHeight="1" x14ac:dyDescent="0.15">
      <c r="A34" s="28" t="s">
        <v>67</v>
      </c>
      <c r="B34" s="19"/>
      <c r="C34" s="1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</row>
    <row r="35" spans="1:31" ht="25.5" x14ac:dyDescent="0.3">
      <c r="A35" s="47">
        <v>-1</v>
      </c>
      <c r="B35" s="115" t="s">
        <v>14</v>
      </c>
      <c r="C35" s="115"/>
      <c r="D35" s="115"/>
      <c r="E35" s="115"/>
      <c r="F35" s="117">
        <f>Чемп!B9+A35</f>
        <v>44433</v>
      </c>
      <c r="G35" s="117"/>
      <c r="H35" s="117"/>
      <c r="I35" s="117"/>
      <c r="J35" s="117"/>
      <c r="K35" s="117"/>
      <c r="L35" s="38"/>
      <c r="M35" s="38"/>
      <c r="N35" s="38"/>
      <c r="O35" s="38"/>
      <c r="P35" s="38"/>
      <c r="Q35" s="19"/>
      <c r="S35" s="116" t="s">
        <v>15</v>
      </c>
      <c r="T35" s="116"/>
      <c r="U35" s="116"/>
      <c r="V35" s="116"/>
      <c r="W35" s="116"/>
      <c r="X35" s="116"/>
      <c r="Y35" s="116"/>
      <c r="Z35" s="114"/>
      <c r="AA35" s="114"/>
      <c r="AB35" s="114"/>
      <c r="AC35" s="114"/>
      <c r="AD35" s="114"/>
      <c r="AE35" s="114"/>
    </row>
    <row r="36" spans="1:31" x14ac:dyDescent="0.15">
      <c r="Z36" s="166" t="s">
        <v>16</v>
      </c>
      <c r="AA36" s="166"/>
      <c r="AB36" s="166"/>
      <c r="AC36" s="166"/>
      <c r="AD36" s="166"/>
      <c r="AE36" s="166"/>
    </row>
  </sheetData>
  <sheetProtection formatCells="0" formatColumns="0" formatRows="0"/>
  <mergeCells count="113">
    <mergeCell ref="Q33:V33"/>
    <mergeCell ref="W33:AA33"/>
    <mergeCell ref="AB33:AE33"/>
    <mergeCell ref="Q30:V30"/>
    <mergeCell ref="W30:AA30"/>
    <mergeCell ref="AB30:AE30"/>
    <mergeCell ref="Q31:V31"/>
    <mergeCell ref="W31:AA31"/>
    <mergeCell ref="AB31:AE31"/>
    <mergeCell ref="AB29:AE29"/>
    <mergeCell ref="Q26:V26"/>
    <mergeCell ref="W26:AA26"/>
    <mergeCell ref="AB26:AE26"/>
    <mergeCell ref="Q27:V27"/>
    <mergeCell ref="W27:AA27"/>
    <mergeCell ref="AB27:AE27"/>
    <mergeCell ref="Q32:V32"/>
    <mergeCell ref="W32:AA32"/>
    <mergeCell ref="AB32:AE32"/>
    <mergeCell ref="Q22:V22"/>
    <mergeCell ref="W22:AA22"/>
    <mergeCell ref="AB22:AE22"/>
    <mergeCell ref="Q23:V23"/>
    <mergeCell ref="W23:AA23"/>
    <mergeCell ref="AB23:AE23"/>
    <mergeCell ref="Q28:V28"/>
    <mergeCell ref="W28:AA28"/>
    <mergeCell ref="AB28:AE28"/>
    <mergeCell ref="Q20:V20"/>
    <mergeCell ref="W20:AA20"/>
    <mergeCell ref="AB20:AE20"/>
    <mergeCell ref="Q21:V21"/>
    <mergeCell ref="W21:AA21"/>
    <mergeCell ref="AB21:AE21"/>
    <mergeCell ref="Q18:V18"/>
    <mergeCell ref="W18:AA18"/>
    <mergeCell ref="AB18:AE18"/>
    <mergeCell ref="Q19:V19"/>
    <mergeCell ref="W19:AA19"/>
    <mergeCell ref="AB19:AE19"/>
    <mergeCell ref="Q16:V16"/>
    <mergeCell ref="W16:AA16"/>
    <mergeCell ref="AB16:AE16"/>
    <mergeCell ref="Q17:V17"/>
    <mergeCell ref="W17:AA17"/>
    <mergeCell ref="AB17:AE17"/>
    <mergeCell ref="Q14:V14"/>
    <mergeCell ref="W14:AA14"/>
    <mergeCell ref="AB14:AE14"/>
    <mergeCell ref="Q15:V15"/>
    <mergeCell ref="W15:AA15"/>
    <mergeCell ref="AB15:AE15"/>
    <mergeCell ref="AB11:AE11"/>
    <mergeCell ref="Q12:V12"/>
    <mergeCell ref="W12:AA12"/>
    <mergeCell ref="AB12:AE12"/>
    <mergeCell ref="Q13:V13"/>
    <mergeCell ref="W13:AA13"/>
    <mergeCell ref="AB13:AE13"/>
    <mergeCell ref="B4:J4"/>
    <mergeCell ref="K4:AE4"/>
    <mergeCell ref="B5:J5"/>
    <mergeCell ref="D11:P11"/>
    <mergeCell ref="Q11:V11"/>
    <mergeCell ref="W11:AA11"/>
    <mergeCell ref="D12:P12"/>
    <mergeCell ref="D13:P13"/>
    <mergeCell ref="C2:AD2"/>
    <mergeCell ref="C3:AD3"/>
    <mergeCell ref="B6:M6"/>
    <mergeCell ref="B7:M7"/>
    <mergeCell ref="B9:C9"/>
    <mergeCell ref="D9:P9"/>
    <mergeCell ref="Q9:V9"/>
    <mergeCell ref="W9:AA9"/>
    <mergeCell ref="D10:P10"/>
    <mergeCell ref="AB9:AE9"/>
    <mergeCell ref="Q10:V10"/>
    <mergeCell ref="W10:AA10"/>
    <mergeCell ref="AB10:AE10"/>
    <mergeCell ref="D14:P14"/>
    <mergeCell ref="D17:P17"/>
    <mergeCell ref="D15:P15"/>
    <mergeCell ref="D16:P16"/>
    <mergeCell ref="D18:P18"/>
    <mergeCell ref="D19:P19"/>
    <mergeCell ref="D20:P20"/>
    <mergeCell ref="D21:P21"/>
    <mergeCell ref="D22:P22"/>
    <mergeCell ref="D32:P32"/>
    <mergeCell ref="D33:P33"/>
    <mergeCell ref="Z36:AE36"/>
    <mergeCell ref="B35:E35"/>
    <mergeCell ref="S35:Y35"/>
    <mergeCell ref="Z35:AE35"/>
    <mergeCell ref="F35:K35"/>
    <mergeCell ref="D23:P23"/>
    <mergeCell ref="D24:P24"/>
    <mergeCell ref="D25:P25"/>
    <mergeCell ref="D26:P26"/>
    <mergeCell ref="D27:P27"/>
    <mergeCell ref="D28:P28"/>
    <mergeCell ref="D29:P29"/>
    <mergeCell ref="D30:P30"/>
    <mergeCell ref="D31:P31"/>
    <mergeCell ref="Q24:V24"/>
    <mergeCell ref="W24:AA24"/>
    <mergeCell ref="AB24:AE24"/>
    <mergeCell ref="Q25:V25"/>
    <mergeCell ref="W25:AA25"/>
    <mergeCell ref="AB25:AE25"/>
    <mergeCell ref="Q29:V29"/>
    <mergeCell ref="W29:AA29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4"/>
  <dimension ref="B1:AF39"/>
  <sheetViews>
    <sheetView view="pageBreakPreview" zoomScale="80" zoomScaleNormal="100" zoomScaleSheetLayoutView="80" workbookViewId="0">
      <selection activeCell="S38" sqref="S38:Y38"/>
    </sheetView>
  </sheetViews>
  <sheetFormatPr defaultColWidth="9.14453125" defaultRowHeight="13.5" x14ac:dyDescent="0.15"/>
  <cols>
    <col min="1" max="1" width="5.91796875" style="28" customWidth="1"/>
    <col min="2" max="2" width="4.3046875" style="28" customWidth="1"/>
    <col min="3" max="3" width="1.4765625" style="28" customWidth="1"/>
    <col min="4" max="7" width="3.09375" style="28" customWidth="1"/>
    <col min="8" max="8" width="1.4765625" style="28" customWidth="1"/>
    <col min="9" max="12" width="3.09375" style="28" customWidth="1"/>
    <col min="13" max="13" width="1.61328125" style="28" customWidth="1"/>
    <col min="14" max="14" width="2.82421875" style="28" customWidth="1"/>
    <col min="15" max="26" width="3.09375" style="28" customWidth="1"/>
    <col min="27" max="29" width="4.16796875" style="28" customWidth="1"/>
    <col min="30" max="30" width="4.03515625" style="28" customWidth="1"/>
    <col min="31" max="31" width="3.2265625" style="28" customWidth="1"/>
    <col min="32" max="32" width="2.41796875" style="28" customWidth="1"/>
    <col min="33" max="35" width="3.09375" style="28" customWidth="1"/>
    <col min="36" max="16384" width="9.14453125" style="28"/>
  </cols>
  <sheetData>
    <row r="1" spans="2:32" ht="28.35" customHeight="1" x14ac:dyDescent="0.15"/>
    <row r="2" spans="2:32" ht="18" x14ac:dyDescent="0.2">
      <c r="B2" s="121" t="s">
        <v>84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34"/>
    </row>
    <row r="3" spans="2:32" ht="22.5" customHeight="1" x14ac:dyDescent="0.15">
      <c r="B3" s="122" t="s">
        <v>54</v>
      </c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</row>
    <row r="4" spans="2:32" ht="45.6" customHeight="1" x14ac:dyDescent="0.15">
      <c r="B4" s="123" t="s">
        <v>3</v>
      </c>
      <c r="C4" s="123"/>
      <c r="D4" s="123"/>
      <c r="E4" s="123"/>
      <c r="F4" s="123"/>
      <c r="G4" s="123"/>
      <c r="H4" s="123"/>
      <c r="I4" s="123"/>
      <c r="J4" s="123"/>
      <c r="K4" s="124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4"/>
      <c r="AF4" s="12"/>
    </row>
    <row r="5" spans="2:32" ht="24.75" customHeight="1" x14ac:dyDescent="0.15">
      <c r="B5" s="123" t="s">
        <v>6</v>
      </c>
      <c r="C5" s="123"/>
      <c r="D5" s="123"/>
      <c r="E5" s="123"/>
      <c r="F5" s="123"/>
      <c r="G5" s="123"/>
      <c r="H5" s="123"/>
      <c r="I5" s="123"/>
      <c r="J5" s="123"/>
      <c r="K5" s="11" t="str">
        <f>CONCATENATE(Чемп!B4," ",Чемп!C4)</f>
        <v>№ (заполнить) Название (заполнить)</v>
      </c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</row>
    <row r="6" spans="2:32" ht="21.75" customHeight="1" x14ac:dyDescent="0.15">
      <c r="B6" s="123" t="s">
        <v>106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1" t="str">
        <f>CONCATENATE(Experts!B1," ",Experts!C1," ",Experts!D1)</f>
        <v>Фамилия Имя Отчество</v>
      </c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2:32" ht="31.5" customHeight="1" x14ac:dyDescent="0.15">
      <c r="B7" s="18"/>
      <c r="C7" s="132" t="s">
        <v>70</v>
      </c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1"/>
      <c r="AF7" s="11"/>
    </row>
    <row r="9" spans="2:32" ht="62.25" customHeight="1" x14ac:dyDescent="0.15">
      <c r="B9" s="176" t="s">
        <v>4</v>
      </c>
      <c r="C9" s="176"/>
      <c r="D9" s="177" t="s">
        <v>59</v>
      </c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81" t="s">
        <v>55</v>
      </c>
      <c r="R9" s="181"/>
      <c r="S9" s="181"/>
      <c r="T9" s="181"/>
      <c r="U9" s="181"/>
      <c r="V9" s="181"/>
      <c r="W9" s="181"/>
      <c r="X9" s="181"/>
      <c r="Y9" s="181"/>
      <c r="Z9" s="181"/>
      <c r="AA9" s="177" t="s">
        <v>12</v>
      </c>
      <c r="AB9" s="177"/>
      <c r="AC9" s="177"/>
      <c r="AD9" s="177"/>
      <c r="AE9" s="177"/>
    </row>
    <row r="10" spans="2:32" s="58" customFormat="1" ht="18.75" customHeight="1" x14ac:dyDescent="0.15">
      <c r="B10" s="72">
        <v>1</v>
      </c>
      <c r="C10" s="70" t="s">
        <v>13</v>
      </c>
      <c r="D10" s="107" t="str">
        <f>Competitors!F1</f>
        <v>Фамилия Имя Отчество</v>
      </c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9"/>
      <c r="Q10" s="110"/>
      <c r="R10" s="111"/>
      <c r="S10" s="111"/>
      <c r="T10" s="111"/>
      <c r="U10" s="111"/>
      <c r="V10" s="111"/>
      <c r="W10" s="111"/>
      <c r="X10" s="111"/>
      <c r="Y10" s="111"/>
      <c r="Z10" s="112"/>
      <c r="AA10" s="110"/>
      <c r="AB10" s="111"/>
      <c r="AC10" s="111"/>
      <c r="AD10" s="111"/>
      <c r="AE10" s="112"/>
    </row>
    <row r="11" spans="2:32" s="58" customFormat="1" ht="18.75" customHeight="1" x14ac:dyDescent="0.15">
      <c r="B11" s="72">
        <v>2</v>
      </c>
      <c r="C11" s="70" t="s">
        <v>13</v>
      </c>
      <c r="D11" s="107" t="str">
        <f>Competitors!F2</f>
        <v>Фамилия Имя Отчество</v>
      </c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9"/>
      <c r="Q11" s="110"/>
      <c r="R11" s="111"/>
      <c r="S11" s="111"/>
      <c r="T11" s="111"/>
      <c r="U11" s="111"/>
      <c r="V11" s="111"/>
      <c r="W11" s="111"/>
      <c r="X11" s="111"/>
      <c r="Y11" s="111"/>
      <c r="Z11" s="112"/>
      <c r="AA11" s="110"/>
      <c r="AB11" s="111"/>
      <c r="AC11" s="111"/>
      <c r="AD11" s="111"/>
      <c r="AE11" s="112"/>
    </row>
    <row r="12" spans="2:32" s="58" customFormat="1" ht="18.75" customHeight="1" x14ac:dyDescent="0.15">
      <c r="B12" s="72">
        <v>3</v>
      </c>
      <c r="C12" s="70" t="s">
        <v>13</v>
      </c>
      <c r="D12" s="107" t="str">
        <f>Competitors!F3</f>
        <v>Фамилия Имя Отчество</v>
      </c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9"/>
      <c r="Q12" s="110"/>
      <c r="R12" s="111"/>
      <c r="S12" s="111"/>
      <c r="T12" s="111"/>
      <c r="U12" s="111"/>
      <c r="V12" s="111"/>
      <c r="W12" s="111"/>
      <c r="X12" s="111"/>
      <c r="Y12" s="111"/>
      <c r="Z12" s="112"/>
      <c r="AA12" s="110"/>
      <c r="AB12" s="111"/>
      <c r="AC12" s="111"/>
      <c r="AD12" s="111"/>
      <c r="AE12" s="112"/>
    </row>
    <row r="13" spans="2:32" s="58" customFormat="1" ht="18.75" customHeight="1" x14ac:dyDescent="0.15">
      <c r="B13" s="72">
        <v>4</v>
      </c>
      <c r="C13" s="70" t="s">
        <v>13</v>
      </c>
      <c r="D13" s="107" t="str">
        <f>Competitors!F4</f>
        <v>Фамилия Имя Отчество</v>
      </c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9"/>
      <c r="Q13" s="110"/>
      <c r="R13" s="111"/>
      <c r="S13" s="111"/>
      <c r="T13" s="111"/>
      <c r="U13" s="111"/>
      <c r="V13" s="111"/>
      <c r="W13" s="111"/>
      <c r="X13" s="111"/>
      <c r="Y13" s="111"/>
      <c r="Z13" s="112"/>
      <c r="AA13" s="110"/>
      <c r="AB13" s="111"/>
      <c r="AC13" s="111"/>
      <c r="AD13" s="111"/>
      <c r="AE13" s="112"/>
    </row>
    <row r="14" spans="2:32" s="58" customFormat="1" ht="18.75" customHeight="1" x14ac:dyDescent="0.15">
      <c r="B14" s="72">
        <v>5</v>
      </c>
      <c r="C14" s="70" t="s">
        <v>13</v>
      </c>
      <c r="D14" s="107" t="str">
        <f>Competitors!F5</f>
        <v>Фамилия Имя Отчество</v>
      </c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9"/>
      <c r="Q14" s="110"/>
      <c r="R14" s="111"/>
      <c r="S14" s="111"/>
      <c r="T14" s="111"/>
      <c r="U14" s="111"/>
      <c r="V14" s="111"/>
      <c r="W14" s="111"/>
      <c r="X14" s="111"/>
      <c r="Y14" s="111"/>
      <c r="Z14" s="112"/>
      <c r="AA14" s="110"/>
      <c r="AB14" s="111"/>
      <c r="AC14" s="111"/>
      <c r="AD14" s="111"/>
      <c r="AE14" s="112"/>
    </row>
    <row r="15" spans="2:32" s="58" customFormat="1" ht="18.75" customHeight="1" x14ac:dyDescent="0.15">
      <c r="B15" s="72">
        <v>6</v>
      </c>
      <c r="C15" s="70" t="s">
        <v>13</v>
      </c>
      <c r="D15" s="107" t="str">
        <f>Competitors!F6</f>
        <v>Фамилия Имя Отчество</v>
      </c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9"/>
      <c r="Q15" s="110"/>
      <c r="R15" s="111"/>
      <c r="S15" s="111"/>
      <c r="T15" s="111"/>
      <c r="U15" s="111"/>
      <c r="V15" s="111"/>
      <c r="W15" s="111"/>
      <c r="X15" s="111"/>
      <c r="Y15" s="111"/>
      <c r="Z15" s="112"/>
      <c r="AA15" s="110"/>
      <c r="AB15" s="111"/>
      <c r="AC15" s="111"/>
      <c r="AD15" s="111"/>
      <c r="AE15" s="112"/>
    </row>
    <row r="16" spans="2:32" s="58" customFormat="1" ht="18.75" customHeight="1" x14ac:dyDescent="0.15">
      <c r="B16" s="72">
        <v>7</v>
      </c>
      <c r="C16" s="70" t="s">
        <v>13</v>
      </c>
      <c r="D16" s="107" t="str">
        <f>Competitors!F7</f>
        <v>Фамилия Имя Отчество</v>
      </c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9"/>
      <c r="Q16" s="110"/>
      <c r="R16" s="111"/>
      <c r="S16" s="111"/>
      <c r="T16" s="111"/>
      <c r="U16" s="111"/>
      <c r="V16" s="111"/>
      <c r="W16" s="111"/>
      <c r="X16" s="111"/>
      <c r="Y16" s="111"/>
      <c r="Z16" s="112"/>
      <c r="AA16" s="110"/>
      <c r="AB16" s="111"/>
      <c r="AC16" s="111"/>
      <c r="AD16" s="111"/>
      <c r="AE16" s="112"/>
    </row>
    <row r="17" spans="2:31" s="58" customFormat="1" ht="18.75" customHeight="1" x14ac:dyDescent="0.15">
      <c r="B17" s="72">
        <v>8</v>
      </c>
      <c r="C17" s="70" t="s">
        <v>13</v>
      </c>
      <c r="D17" s="107" t="str">
        <f>Competitors!F8</f>
        <v>Фамилия Имя Отчество</v>
      </c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9"/>
      <c r="Q17" s="110"/>
      <c r="R17" s="111"/>
      <c r="S17" s="111"/>
      <c r="T17" s="111"/>
      <c r="U17" s="111"/>
      <c r="V17" s="111"/>
      <c r="W17" s="111"/>
      <c r="X17" s="111"/>
      <c r="Y17" s="111"/>
      <c r="Z17" s="112"/>
      <c r="AA17" s="110"/>
      <c r="AB17" s="111"/>
      <c r="AC17" s="111"/>
      <c r="AD17" s="111"/>
      <c r="AE17" s="112"/>
    </row>
    <row r="18" spans="2:31" s="58" customFormat="1" ht="18.75" customHeight="1" x14ac:dyDescent="0.15">
      <c r="B18" s="72">
        <v>9</v>
      </c>
      <c r="C18" s="70" t="s">
        <v>13</v>
      </c>
      <c r="D18" s="107" t="str">
        <f>Competitors!F7</f>
        <v>Фамилия Имя Отчество</v>
      </c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9"/>
      <c r="Q18" s="110"/>
      <c r="R18" s="111"/>
      <c r="S18" s="111"/>
      <c r="T18" s="111"/>
      <c r="U18" s="111"/>
      <c r="V18" s="111"/>
      <c r="W18" s="111"/>
      <c r="X18" s="111"/>
      <c r="Y18" s="111"/>
      <c r="Z18" s="112"/>
      <c r="AA18" s="110"/>
      <c r="AB18" s="111"/>
      <c r="AC18" s="111"/>
      <c r="AD18" s="111"/>
      <c r="AE18" s="112"/>
    </row>
    <row r="19" spans="2:31" s="58" customFormat="1" ht="18.75" customHeight="1" x14ac:dyDescent="0.15">
      <c r="B19" s="72">
        <v>10</v>
      </c>
      <c r="C19" s="70" t="s">
        <v>13</v>
      </c>
      <c r="D19" s="107" t="str">
        <f>Competitors!F8</f>
        <v>Фамилия Имя Отчество</v>
      </c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9"/>
      <c r="Q19" s="110"/>
      <c r="R19" s="111"/>
      <c r="S19" s="111"/>
      <c r="T19" s="111"/>
      <c r="U19" s="111"/>
      <c r="V19" s="111"/>
      <c r="W19" s="111"/>
      <c r="X19" s="111"/>
      <c r="Y19" s="111"/>
      <c r="Z19" s="112"/>
      <c r="AA19" s="110"/>
      <c r="AB19" s="111"/>
      <c r="AC19" s="111"/>
      <c r="AD19" s="111"/>
      <c r="AE19" s="112"/>
    </row>
    <row r="20" spans="2:31" s="58" customFormat="1" ht="18.75" customHeight="1" x14ac:dyDescent="0.15">
      <c r="B20" s="72">
        <v>11</v>
      </c>
      <c r="C20" s="70" t="s">
        <v>13</v>
      </c>
      <c r="D20" s="107" t="str">
        <f>Competitors!F9</f>
        <v>Фамилия Имя Отчество</v>
      </c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9"/>
      <c r="Q20" s="110"/>
      <c r="R20" s="111"/>
      <c r="S20" s="111"/>
      <c r="T20" s="111"/>
      <c r="U20" s="111"/>
      <c r="V20" s="111"/>
      <c r="W20" s="111"/>
      <c r="X20" s="111"/>
      <c r="Y20" s="111"/>
      <c r="Z20" s="112"/>
      <c r="AA20" s="110"/>
      <c r="AB20" s="111"/>
      <c r="AC20" s="111"/>
      <c r="AD20" s="111"/>
      <c r="AE20" s="112"/>
    </row>
    <row r="21" spans="2:31" s="58" customFormat="1" ht="18.75" customHeight="1" x14ac:dyDescent="0.15">
      <c r="B21" s="72">
        <v>12</v>
      </c>
      <c r="C21" s="70" t="s">
        <v>13</v>
      </c>
      <c r="D21" s="107" t="str">
        <f>Competitors!F10</f>
        <v>Фамилия Имя Отчество</v>
      </c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9"/>
      <c r="Q21" s="110"/>
      <c r="R21" s="111"/>
      <c r="S21" s="111"/>
      <c r="T21" s="111"/>
      <c r="U21" s="111"/>
      <c r="V21" s="111"/>
      <c r="W21" s="111"/>
      <c r="X21" s="111"/>
      <c r="Y21" s="111"/>
      <c r="Z21" s="112"/>
      <c r="AA21" s="110"/>
      <c r="AB21" s="111"/>
      <c r="AC21" s="111"/>
      <c r="AD21" s="111"/>
      <c r="AE21" s="112"/>
    </row>
    <row r="22" spans="2:31" s="58" customFormat="1" ht="18.75" customHeight="1" x14ac:dyDescent="0.15">
      <c r="B22" s="72">
        <v>13</v>
      </c>
      <c r="C22" s="70" t="s">
        <v>13</v>
      </c>
      <c r="D22" s="107" t="str">
        <f>Competitors!F11</f>
        <v>Фамилия Имя Отчество</v>
      </c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9"/>
      <c r="Q22" s="110"/>
      <c r="R22" s="111"/>
      <c r="S22" s="111"/>
      <c r="T22" s="111"/>
      <c r="U22" s="111"/>
      <c r="V22" s="111"/>
      <c r="W22" s="111"/>
      <c r="X22" s="111"/>
      <c r="Y22" s="111"/>
      <c r="Z22" s="112"/>
      <c r="AA22" s="110"/>
      <c r="AB22" s="111"/>
      <c r="AC22" s="111"/>
      <c r="AD22" s="111"/>
      <c r="AE22" s="112"/>
    </row>
    <row r="23" spans="2:31" s="58" customFormat="1" ht="18.75" customHeight="1" x14ac:dyDescent="0.15">
      <c r="B23" s="72">
        <v>14</v>
      </c>
      <c r="C23" s="70" t="s">
        <v>13</v>
      </c>
      <c r="D23" s="107" t="str">
        <f>Competitors!F12</f>
        <v>Фамилия Имя Отчество</v>
      </c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9"/>
      <c r="Q23" s="110"/>
      <c r="R23" s="111"/>
      <c r="S23" s="111"/>
      <c r="T23" s="111"/>
      <c r="U23" s="111"/>
      <c r="V23" s="111"/>
      <c r="W23" s="111"/>
      <c r="X23" s="111"/>
      <c r="Y23" s="111"/>
      <c r="Z23" s="112"/>
      <c r="AA23" s="110"/>
      <c r="AB23" s="111"/>
      <c r="AC23" s="111"/>
      <c r="AD23" s="111"/>
      <c r="AE23" s="112"/>
    </row>
    <row r="24" spans="2:31" s="58" customFormat="1" ht="18.75" customHeight="1" x14ac:dyDescent="0.15">
      <c r="B24" s="72">
        <v>15</v>
      </c>
      <c r="C24" s="70" t="s">
        <v>13</v>
      </c>
      <c r="D24" s="107" t="str">
        <f>Competitors!F13</f>
        <v>Фамилия Имя Отчество</v>
      </c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9"/>
      <c r="Q24" s="110"/>
      <c r="R24" s="111"/>
      <c r="S24" s="111"/>
      <c r="T24" s="111"/>
      <c r="U24" s="111"/>
      <c r="V24" s="111"/>
      <c r="W24" s="111"/>
      <c r="X24" s="111"/>
      <c r="Y24" s="111"/>
      <c r="Z24" s="112"/>
      <c r="AA24" s="110"/>
      <c r="AB24" s="111"/>
      <c r="AC24" s="111"/>
      <c r="AD24" s="111"/>
      <c r="AE24" s="112"/>
    </row>
    <row r="25" spans="2:31" s="58" customFormat="1" ht="18.75" customHeight="1" x14ac:dyDescent="0.15">
      <c r="B25" s="72">
        <v>16</v>
      </c>
      <c r="C25" s="70" t="s">
        <v>13</v>
      </c>
      <c r="D25" s="107" t="str">
        <f>Competitors!F14</f>
        <v>Фамилия Имя Отчество</v>
      </c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9"/>
      <c r="Q25" s="110"/>
      <c r="R25" s="111"/>
      <c r="S25" s="111"/>
      <c r="T25" s="111"/>
      <c r="U25" s="111"/>
      <c r="V25" s="111"/>
      <c r="W25" s="111"/>
      <c r="X25" s="111"/>
      <c r="Y25" s="111"/>
      <c r="Z25" s="112"/>
      <c r="AA25" s="110"/>
      <c r="AB25" s="111"/>
      <c r="AC25" s="111"/>
      <c r="AD25" s="111"/>
      <c r="AE25" s="112"/>
    </row>
    <row r="26" spans="2:31" s="58" customFormat="1" ht="18.75" customHeight="1" x14ac:dyDescent="0.15">
      <c r="B26" s="72">
        <v>17</v>
      </c>
      <c r="C26" s="70" t="s">
        <v>13</v>
      </c>
      <c r="D26" s="107" t="str">
        <f>Competitors!F15</f>
        <v xml:space="preserve">  </v>
      </c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9"/>
      <c r="Q26" s="110"/>
      <c r="R26" s="111"/>
      <c r="S26" s="111"/>
      <c r="T26" s="111"/>
      <c r="U26" s="111"/>
      <c r="V26" s="111"/>
      <c r="W26" s="111"/>
      <c r="X26" s="111"/>
      <c r="Y26" s="111"/>
      <c r="Z26" s="112"/>
      <c r="AA26" s="110"/>
      <c r="AB26" s="111"/>
      <c r="AC26" s="111"/>
      <c r="AD26" s="111"/>
      <c r="AE26" s="112"/>
    </row>
    <row r="27" spans="2:31" s="58" customFormat="1" ht="18.75" customHeight="1" x14ac:dyDescent="0.15">
      <c r="B27" s="72">
        <v>18</v>
      </c>
      <c r="C27" s="70" t="s">
        <v>13</v>
      </c>
      <c r="D27" s="107" t="str">
        <f>Competitors!F16</f>
        <v xml:space="preserve">  </v>
      </c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9"/>
      <c r="Q27" s="110"/>
      <c r="R27" s="111"/>
      <c r="S27" s="111"/>
      <c r="T27" s="111"/>
      <c r="U27" s="111"/>
      <c r="V27" s="111"/>
      <c r="W27" s="111"/>
      <c r="X27" s="111"/>
      <c r="Y27" s="111"/>
      <c r="Z27" s="112"/>
      <c r="AA27" s="110"/>
      <c r="AB27" s="111"/>
      <c r="AC27" s="111"/>
      <c r="AD27" s="111"/>
      <c r="AE27" s="112"/>
    </row>
    <row r="28" spans="2:31" s="58" customFormat="1" ht="18.75" customHeight="1" x14ac:dyDescent="0.15">
      <c r="B28" s="72">
        <v>19</v>
      </c>
      <c r="C28" s="70" t="s">
        <v>13</v>
      </c>
      <c r="D28" s="107" t="str">
        <f>Competitors!F17</f>
        <v xml:space="preserve">  </v>
      </c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9"/>
      <c r="Q28" s="110"/>
      <c r="R28" s="111"/>
      <c r="S28" s="111"/>
      <c r="T28" s="111"/>
      <c r="U28" s="111"/>
      <c r="V28" s="111"/>
      <c r="W28" s="111"/>
      <c r="X28" s="111"/>
      <c r="Y28" s="111"/>
      <c r="Z28" s="112"/>
      <c r="AA28" s="110"/>
      <c r="AB28" s="111"/>
      <c r="AC28" s="111"/>
      <c r="AD28" s="111"/>
      <c r="AE28" s="112"/>
    </row>
    <row r="29" spans="2:31" s="58" customFormat="1" ht="18.75" customHeight="1" x14ac:dyDescent="0.15">
      <c r="B29" s="72">
        <v>20</v>
      </c>
      <c r="C29" s="70" t="s">
        <v>13</v>
      </c>
      <c r="D29" s="107" t="str">
        <f>Competitors!F18</f>
        <v xml:space="preserve">  </v>
      </c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9"/>
      <c r="Q29" s="110"/>
      <c r="R29" s="111"/>
      <c r="S29" s="111"/>
      <c r="T29" s="111"/>
      <c r="U29" s="111"/>
      <c r="V29" s="111"/>
      <c r="W29" s="111"/>
      <c r="X29" s="111"/>
      <c r="Y29" s="111"/>
      <c r="Z29" s="112"/>
      <c r="AA29" s="110"/>
      <c r="AB29" s="111"/>
      <c r="AC29" s="111"/>
      <c r="AD29" s="111"/>
      <c r="AE29" s="112"/>
    </row>
    <row r="30" spans="2:31" s="58" customFormat="1" ht="18.75" customHeight="1" x14ac:dyDescent="0.15">
      <c r="B30" s="72">
        <v>21</v>
      </c>
      <c r="C30" s="70" t="s">
        <v>13</v>
      </c>
      <c r="D30" s="107" t="str">
        <f>Competitors!F19</f>
        <v xml:space="preserve">  </v>
      </c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9"/>
      <c r="Q30" s="110"/>
      <c r="R30" s="111"/>
      <c r="S30" s="111"/>
      <c r="T30" s="111"/>
      <c r="U30" s="111"/>
      <c r="V30" s="111"/>
      <c r="W30" s="111"/>
      <c r="X30" s="111"/>
      <c r="Y30" s="111"/>
      <c r="Z30" s="112"/>
      <c r="AA30" s="110"/>
      <c r="AB30" s="111"/>
      <c r="AC30" s="111"/>
      <c r="AD30" s="111"/>
      <c r="AE30" s="112"/>
    </row>
    <row r="31" spans="2:31" s="58" customFormat="1" ht="18.75" customHeight="1" x14ac:dyDescent="0.15">
      <c r="B31" s="72">
        <v>22</v>
      </c>
      <c r="C31" s="70" t="s">
        <v>13</v>
      </c>
      <c r="D31" s="107" t="str">
        <f>Competitors!F20</f>
        <v xml:space="preserve">  </v>
      </c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9"/>
      <c r="Q31" s="110"/>
      <c r="R31" s="111"/>
      <c r="S31" s="111"/>
      <c r="T31" s="111"/>
      <c r="U31" s="111"/>
      <c r="V31" s="111"/>
      <c r="W31" s="111"/>
      <c r="X31" s="111"/>
      <c r="Y31" s="111"/>
      <c r="Z31" s="112"/>
      <c r="AA31" s="110"/>
      <c r="AB31" s="111"/>
      <c r="AC31" s="111"/>
      <c r="AD31" s="111"/>
      <c r="AE31" s="112"/>
    </row>
    <row r="32" spans="2:31" s="58" customFormat="1" ht="18.75" customHeight="1" x14ac:dyDescent="0.15">
      <c r="B32" s="72">
        <v>23</v>
      </c>
      <c r="C32" s="70" t="s">
        <v>13</v>
      </c>
      <c r="D32" s="107" t="str">
        <f>Competitors!F21</f>
        <v xml:space="preserve">  </v>
      </c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9"/>
      <c r="Q32" s="110"/>
      <c r="R32" s="111"/>
      <c r="S32" s="111"/>
      <c r="T32" s="111"/>
      <c r="U32" s="111"/>
      <c r="V32" s="111"/>
      <c r="W32" s="111"/>
      <c r="X32" s="111"/>
      <c r="Y32" s="111"/>
      <c r="Z32" s="112"/>
      <c r="AA32" s="110"/>
      <c r="AB32" s="111"/>
      <c r="AC32" s="111"/>
      <c r="AD32" s="111"/>
      <c r="AE32" s="112"/>
    </row>
    <row r="33" spans="2:31" s="58" customFormat="1" ht="18.75" customHeight="1" x14ac:dyDescent="0.15">
      <c r="B33" s="72">
        <v>24</v>
      </c>
      <c r="C33" s="70" t="s">
        <v>13</v>
      </c>
      <c r="D33" s="107" t="str">
        <f>Competitors!F22</f>
        <v xml:space="preserve">  </v>
      </c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9"/>
      <c r="Q33" s="110"/>
      <c r="R33" s="111"/>
      <c r="S33" s="111"/>
      <c r="T33" s="111"/>
      <c r="U33" s="111"/>
      <c r="V33" s="111"/>
      <c r="W33" s="111"/>
      <c r="X33" s="111"/>
      <c r="Y33" s="111"/>
      <c r="Z33" s="112"/>
      <c r="AA33" s="110"/>
      <c r="AB33" s="111"/>
      <c r="AC33" s="111"/>
      <c r="AD33" s="111"/>
      <c r="AE33" s="112"/>
    </row>
    <row r="34" spans="2:31" s="58" customFormat="1" ht="18.75" customHeight="1" x14ac:dyDescent="0.15">
      <c r="B34" s="72">
        <v>25</v>
      </c>
      <c r="C34" s="70" t="s">
        <v>13</v>
      </c>
      <c r="D34" s="107" t="str">
        <f>Competitors!F23</f>
        <v xml:space="preserve">  </v>
      </c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9"/>
      <c r="Q34" s="110"/>
      <c r="R34" s="111"/>
      <c r="S34" s="111"/>
      <c r="T34" s="111"/>
      <c r="U34" s="111"/>
      <c r="V34" s="111"/>
      <c r="W34" s="111"/>
      <c r="X34" s="111"/>
      <c r="Y34" s="111"/>
      <c r="Z34" s="112"/>
      <c r="AA34" s="110"/>
      <c r="AB34" s="111"/>
      <c r="AC34" s="111"/>
      <c r="AD34" s="111"/>
      <c r="AE34" s="112"/>
    </row>
    <row r="35" spans="2:31" s="58" customFormat="1" ht="18.600000000000001" customHeight="1" x14ac:dyDescent="0.15">
      <c r="B35" s="72">
        <v>26</v>
      </c>
      <c r="C35" s="70" t="s">
        <v>13</v>
      </c>
      <c r="D35" s="107" t="str">
        <f>Competitors!F24</f>
        <v xml:space="preserve">  </v>
      </c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9"/>
      <c r="Q35" s="110"/>
      <c r="R35" s="111"/>
      <c r="S35" s="111"/>
      <c r="T35" s="111"/>
      <c r="U35" s="111"/>
      <c r="V35" s="111"/>
      <c r="W35" s="111"/>
      <c r="X35" s="111"/>
      <c r="Y35" s="111"/>
      <c r="Z35" s="112"/>
      <c r="AA35" s="110"/>
      <c r="AB35" s="111"/>
      <c r="AC35" s="111"/>
      <c r="AD35" s="111"/>
      <c r="AE35" s="112"/>
    </row>
    <row r="36" spans="2:31" s="58" customFormat="1" ht="18.75" customHeight="1" x14ac:dyDescent="0.15">
      <c r="B36" s="72">
        <v>27</v>
      </c>
      <c r="C36" s="70" t="s">
        <v>13</v>
      </c>
      <c r="D36" s="107" t="str">
        <f>Competitors!F25</f>
        <v xml:space="preserve">  </v>
      </c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9"/>
      <c r="Q36" s="110"/>
      <c r="R36" s="111"/>
      <c r="S36" s="111"/>
      <c r="T36" s="111"/>
      <c r="U36" s="111"/>
      <c r="V36" s="111"/>
      <c r="W36" s="111"/>
      <c r="X36" s="111"/>
      <c r="Y36" s="111"/>
      <c r="Z36" s="112"/>
      <c r="AA36" s="110"/>
      <c r="AB36" s="111"/>
      <c r="AC36" s="111"/>
      <c r="AD36" s="111"/>
      <c r="AE36" s="112"/>
    </row>
    <row r="37" spans="2:31" s="58" customFormat="1" ht="14.25" x14ac:dyDescent="0.15"/>
    <row r="38" spans="2:31" x14ac:dyDescent="0.15">
      <c r="B38" s="145" t="s">
        <v>14</v>
      </c>
      <c r="C38" s="145"/>
      <c r="D38" s="145"/>
      <c r="E38" s="145"/>
      <c r="F38" s="182">
        <f>Чемп!B8</f>
        <v>44433</v>
      </c>
      <c r="G38" s="182"/>
      <c r="H38" s="182"/>
      <c r="I38" s="182"/>
      <c r="J38" s="182"/>
      <c r="K38" s="182"/>
      <c r="L38" s="182"/>
      <c r="M38" s="38"/>
      <c r="N38" s="38"/>
      <c r="O38" s="38"/>
      <c r="P38" s="38"/>
      <c r="Q38" s="19"/>
      <c r="S38" s="115" t="s">
        <v>107</v>
      </c>
      <c r="T38" s="115"/>
      <c r="U38" s="115"/>
      <c r="V38" s="115"/>
      <c r="W38" s="115"/>
      <c r="X38" s="115"/>
      <c r="Y38" s="115"/>
      <c r="Z38" s="114"/>
      <c r="AA38" s="114"/>
      <c r="AB38" s="114"/>
      <c r="AC38" s="114"/>
      <c r="AD38" s="114"/>
      <c r="AE38" s="114"/>
    </row>
    <row r="39" spans="2:31" x14ac:dyDescent="0.15">
      <c r="Z39" s="113" t="s">
        <v>16</v>
      </c>
      <c r="AA39" s="113"/>
      <c r="AB39" s="113"/>
      <c r="AC39" s="113"/>
      <c r="AD39" s="113"/>
      <c r="AE39" s="113"/>
    </row>
  </sheetData>
  <sheetProtection formatCells="0" formatColumns="0" formatRows="0"/>
  <mergeCells count="97">
    <mergeCell ref="D15:P15"/>
    <mergeCell ref="D16:P16"/>
    <mergeCell ref="Q15:Z15"/>
    <mergeCell ref="Q16:Z16"/>
    <mergeCell ref="AA15:AE15"/>
    <mergeCell ref="AA16:AE16"/>
    <mergeCell ref="Z39:AE39"/>
    <mergeCell ref="C7:AD7"/>
    <mergeCell ref="F38:L38"/>
    <mergeCell ref="B38:E38"/>
    <mergeCell ref="S38:Y38"/>
    <mergeCell ref="Z38:AE38"/>
    <mergeCell ref="D35:P35"/>
    <mergeCell ref="Q35:Z35"/>
    <mergeCell ref="AA35:AE35"/>
    <mergeCell ref="D36:P36"/>
    <mergeCell ref="Q36:Z36"/>
    <mergeCell ref="AA36:AE36"/>
    <mergeCell ref="D33:P33"/>
    <mergeCell ref="Q33:Z33"/>
    <mergeCell ref="AA33:AE33"/>
    <mergeCell ref="D34:P34"/>
    <mergeCell ref="Q34:Z34"/>
    <mergeCell ref="AA34:AE34"/>
    <mergeCell ref="D31:P31"/>
    <mergeCell ref="Q31:Z31"/>
    <mergeCell ref="AA31:AE31"/>
    <mergeCell ref="D32:P32"/>
    <mergeCell ref="Q32:Z32"/>
    <mergeCell ref="AA32:AE32"/>
    <mergeCell ref="D29:P29"/>
    <mergeCell ref="Q29:Z29"/>
    <mergeCell ref="AA29:AE29"/>
    <mergeCell ref="D30:P30"/>
    <mergeCell ref="Q30:Z30"/>
    <mergeCell ref="AA30:AE30"/>
    <mergeCell ref="D27:P27"/>
    <mergeCell ref="Q27:Z27"/>
    <mergeCell ref="AA27:AE27"/>
    <mergeCell ref="D28:P28"/>
    <mergeCell ref="Q28:Z28"/>
    <mergeCell ref="AA28:AE28"/>
    <mergeCell ref="D25:P25"/>
    <mergeCell ref="Q25:Z25"/>
    <mergeCell ref="AA25:AE25"/>
    <mergeCell ref="D26:P26"/>
    <mergeCell ref="Q26:Z26"/>
    <mergeCell ref="AA26:AE26"/>
    <mergeCell ref="D23:P23"/>
    <mergeCell ref="Q23:Z23"/>
    <mergeCell ref="AA23:AE23"/>
    <mergeCell ref="D24:P24"/>
    <mergeCell ref="Q24:Z24"/>
    <mergeCell ref="AA24:AE24"/>
    <mergeCell ref="D21:P21"/>
    <mergeCell ref="Q21:Z21"/>
    <mergeCell ref="AA21:AE21"/>
    <mergeCell ref="D22:P22"/>
    <mergeCell ref="Q22:Z22"/>
    <mergeCell ref="AA22:AE22"/>
    <mergeCell ref="D19:P19"/>
    <mergeCell ref="Q19:Z19"/>
    <mergeCell ref="AA19:AE19"/>
    <mergeCell ref="D20:P20"/>
    <mergeCell ref="Q20:Z20"/>
    <mergeCell ref="AA20:AE20"/>
    <mergeCell ref="D17:P17"/>
    <mergeCell ref="Q17:Z17"/>
    <mergeCell ref="AA17:AE17"/>
    <mergeCell ref="D18:P18"/>
    <mergeCell ref="Q18:Z18"/>
    <mergeCell ref="AA18:AE18"/>
    <mergeCell ref="D13:P13"/>
    <mergeCell ref="Q13:Z13"/>
    <mergeCell ref="AA13:AE13"/>
    <mergeCell ref="D14:P14"/>
    <mergeCell ref="Q14:Z14"/>
    <mergeCell ref="AA14:AE14"/>
    <mergeCell ref="D11:P11"/>
    <mergeCell ref="Q11:Z11"/>
    <mergeCell ref="AA11:AE11"/>
    <mergeCell ref="D12:P12"/>
    <mergeCell ref="Q12:Z12"/>
    <mergeCell ref="AA12:AE12"/>
    <mergeCell ref="B9:C9"/>
    <mergeCell ref="D9:P9"/>
    <mergeCell ref="Q9:Z9"/>
    <mergeCell ref="AA9:AE9"/>
    <mergeCell ref="D10:P10"/>
    <mergeCell ref="Q10:Z10"/>
    <mergeCell ref="AA10:AE10"/>
    <mergeCell ref="B6:M6"/>
    <mergeCell ref="B2:AE2"/>
    <mergeCell ref="B3:AE3"/>
    <mergeCell ref="B4:J4"/>
    <mergeCell ref="K4:AE4"/>
    <mergeCell ref="B5:J5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8"/>
  <dimension ref="A1:AF37"/>
  <sheetViews>
    <sheetView view="pageBreakPreview" zoomScale="80" zoomScaleNormal="100" zoomScaleSheetLayoutView="80" workbookViewId="0">
      <selection activeCell="S36" sqref="S36:Y36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26" width="2.82421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1:32" ht="28.35" customHeight="1" x14ac:dyDescent="0.15"/>
    <row r="2" spans="1:32" ht="18" x14ac:dyDescent="0.2">
      <c r="B2" s="189" t="s">
        <v>84</v>
      </c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</row>
    <row r="3" spans="1:32" ht="36" customHeight="1" x14ac:dyDescent="0.15">
      <c r="B3" s="190" t="s">
        <v>83</v>
      </c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0"/>
    </row>
    <row r="4" spans="1:32" ht="45.6" customHeight="1" x14ac:dyDescent="0.15">
      <c r="B4" s="96" t="s">
        <v>3</v>
      </c>
      <c r="C4" s="96"/>
      <c r="D4" s="96"/>
      <c r="E4" s="96"/>
      <c r="F4" s="96"/>
      <c r="G4" s="96"/>
      <c r="H4" s="96"/>
      <c r="I4" s="96"/>
      <c r="J4" s="96"/>
      <c r="K4" s="97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6"/>
    </row>
    <row r="5" spans="1:32" ht="24.75" customHeight="1" x14ac:dyDescent="0.15">
      <c r="B5" s="96" t="s">
        <v>6</v>
      </c>
      <c r="C5" s="96"/>
      <c r="D5" s="96"/>
      <c r="E5" s="96"/>
      <c r="F5" s="96"/>
      <c r="G5" s="96"/>
      <c r="H5" s="96"/>
      <c r="I5" s="96"/>
      <c r="J5" s="96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21.75" customHeight="1" x14ac:dyDescent="0.15">
      <c r="B6" s="123" t="s">
        <v>106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107.45" customHeight="1" x14ac:dyDescent="0.3">
      <c r="A7" s="22"/>
      <c r="B7" s="3"/>
      <c r="C7" s="191" t="s">
        <v>85</v>
      </c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8"/>
      <c r="AF7" s="8"/>
    </row>
    <row r="8" spans="1:32" ht="12" customHeight="1" x14ac:dyDescent="0.15"/>
    <row r="9" spans="1:32" ht="60.75" customHeight="1" x14ac:dyDescent="0.15">
      <c r="B9" s="192" t="s">
        <v>9</v>
      </c>
      <c r="C9" s="192"/>
      <c r="D9" s="193" t="s">
        <v>59</v>
      </c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193"/>
      <c r="Q9" s="194" t="s">
        <v>10</v>
      </c>
      <c r="R9" s="194"/>
      <c r="S9" s="194"/>
      <c r="T9" s="194"/>
      <c r="U9" s="194"/>
      <c r="V9" s="194"/>
      <c r="W9" s="194"/>
      <c r="X9" s="194"/>
      <c r="Y9" s="194"/>
      <c r="Z9" s="194"/>
      <c r="AA9" s="193" t="s">
        <v>12</v>
      </c>
      <c r="AB9" s="193"/>
      <c r="AC9" s="193"/>
      <c r="AD9" s="193"/>
      <c r="AE9" s="193"/>
    </row>
    <row r="10" spans="1:32" s="50" customFormat="1" ht="18.75" customHeight="1" x14ac:dyDescent="0.15">
      <c r="B10" s="51">
        <v>1</v>
      </c>
      <c r="C10" s="52" t="s">
        <v>13</v>
      </c>
      <c r="D10" s="183" t="str">
        <f>Competitors!F1</f>
        <v>Фамилия Имя Отчество</v>
      </c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5"/>
      <c r="Q10" s="186"/>
      <c r="R10" s="187"/>
      <c r="S10" s="187"/>
      <c r="T10" s="187"/>
      <c r="U10" s="187"/>
      <c r="V10" s="187"/>
      <c r="W10" s="187"/>
      <c r="X10" s="187"/>
      <c r="Y10" s="187"/>
      <c r="Z10" s="188"/>
      <c r="AA10" s="186"/>
      <c r="AB10" s="187"/>
      <c r="AC10" s="187"/>
      <c r="AD10" s="187"/>
      <c r="AE10" s="188"/>
    </row>
    <row r="11" spans="1:32" s="50" customFormat="1" ht="18.75" customHeight="1" x14ac:dyDescent="0.15">
      <c r="B11" s="51">
        <v>2</v>
      </c>
      <c r="C11" s="52" t="s">
        <v>13</v>
      </c>
      <c r="D11" s="183" t="str">
        <f>Competitors!F2</f>
        <v>Фамилия Имя Отчество</v>
      </c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5"/>
      <c r="Q11" s="186"/>
      <c r="R11" s="187"/>
      <c r="S11" s="187"/>
      <c r="T11" s="187"/>
      <c r="U11" s="187"/>
      <c r="V11" s="187"/>
      <c r="W11" s="187"/>
      <c r="X11" s="187"/>
      <c r="Y11" s="187"/>
      <c r="Z11" s="188"/>
      <c r="AA11" s="186"/>
      <c r="AB11" s="187"/>
      <c r="AC11" s="187"/>
      <c r="AD11" s="187"/>
      <c r="AE11" s="188"/>
    </row>
    <row r="12" spans="1:32" s="50" customFormat="1" ht="18.75" customHeight="1" x14ac:dyDescent="0.15">
      <c r="B12" s="51">
        <v>3</v>
      </c>
      <c r="C12" s="52" t="s">
        <v>13</v>
      </c>
      <c r="D12" s="183" t="str">
        <f>Competitors!F3</f>
        <v>Фамилия Имя Отчество</v>
      </c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5"/>
      <c r="Q12" s="186"/>
      <c r="R12" s="187"/>
      <c r="S12" s="187"/>
      <c r="T12" s="187"/>
      <c r="U12" s="187"/>
      <c r="V12" s="187"/>
      <c r="W12" s="187"/>
      <c r="X12" s="187"/>
      <c r="Y12" s="187"/>
      <c r="Z12" s="188"/>
      <c r="AA12" s="186"/>
      <c r="AB12" s="187"/>
      <c r="AC12" s="187"/>
      <c r="AD12" s="187"/>
      <c r="AE12" s="188"/>
    </row>
    <row r="13" spans="1:32" s="50" customFormat="1" ht="18.75" customHeight="1" x14ac:dyDescent="0.15">
      <c r="B13" s="51">
        <v>4</v>
      </c>
      <c r="C13" s="52" t="s">
        <v>13</v>
      </c>
      <c r="D13" s="183" t="str">
        <f>Competitors!F4</f>
        <v>Фамилия Имя Отчество</v>
      </c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5"/>
      <c r="Q13" s="186"/>
      <c r="R13" s="187"/>
      <c r="S13" s="187"/>
      <c r="T13" s="187"/>
      <c r="U13" s="187"/>
      <c r="V13" s="187"/>
      <c r="W13" s="187"/>
      <c r="X13" s="187"/>
      <c r="Y13" s="187"/>
      <c r="Z13" s="188"/>
      <c r="AA13" s="186"/>
      <c r="AB13" s="187"/>
      <c r="AC13" s="187"/>
      <c r="AD13" s="187"/>
      <c r="AE13" s="188"/>
    </row>
    <row r="14" spans="1:32" s="50" customFormat="1" ht="18.75" customHeight="1" x14ac:dyDescent="0.15">
      <c r="B14" s="51">
        <v>5</v>
      </c>
      <c r="C14" s="52" t="s">
        <v>13</v>
      </c>
      <c r="D14" s="183" t="str">
        <f>Competitors!F5</f>
        <v>Фамилия Имя Отчество</v>
      </c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5"/>
      <c r="Q14" s="186"/>
      <c r="R14" s="187"/>
      <c r="S14" s="187"/>
      <c r="T14" s="187"/>
      <c r="U14" s="187"/>
      <c r="V14" s="187"/>
      <c r="W14" s="187"/>
      <c r="X14" s="187"/>
      <c r="Y14" s="187"/>
      <c r="Z14" s="188"/>
      <c r="AA14" s="186"/>
      <c r="AB14" s="187"/>
      <c r="AC14" s="187"/>
      <c r="AD14" s="187"/>
      <c r="AE14" s="188"/>
    </row>
    <row r="15" spans="1:32" s="50" customFormat="1" ht="18.75" customHeight="1" x14ac:dyDescent="0.15">
      <c r="B15" s="51">
        <v>6</v>
      </c>
      <c r="C15" s="52" t="s">
        <v>13</v>
      </c>
      <c r="D15" s="183" t="str">
        <f>Competitors!F6</f>
        <v>Фамилия Имя Отчество</v>
      </c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5"/>
      <c r="Q15" s="186"/>
      <c r="R15" s="187"/>
      <c r="S15" s="187"/>
      <c r="T15" s="187"/>
      <c r="U15" s="187"/>
      <c r="V15" s="187"/>
      <c r="W15" s="187"/>
      <c r="X15" s="187"/>
      <c r="Y15" s="187"/>
      <c r="Z15" s="188"/>
      <c r="AA15" s="186"/>
      <c r="AB15" s="187"/>
      <c r="AC15" s="187"/>
      <c r="AD15" s="187"/>
      <c r="AE15" s="188"/>
    </row>
    <row r="16" spans="1:32" s="50" customFormat="1" ht="18.75" customHeight="1" x14ac:dyDescent="0.15">
      <c r="B16" s="51">
        <v>7</v>
      </c>
      <c r="C16" s="52" t="s">
        <v>13</v>
      </c>
      <c r="D16" s="183" t="str">
        <f>Competitors!F7</f>
        <v>Фамилия Имя Отчество</v>
      </c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4"/>
      <c r="P16" s="185"/>
      <c r="Q16" s="186"/>
      <c r="R16" s="187"/>
      <c r="S16" s="187"/>
      <c r="T16" s="187"/>
      <c r="U16" s="187"/>
      <c r="V16" s="187"/>
      <c r="W16" s="187"/>
      <c r="X16" s="187"/>
      <c r="Y16" s="187"/>
      <c r="Z16" s="188"/>
      <c r="AA16" s="186"/>
      <c r="AB16" s="187"/>
      <c r="AC16" s="187"/>
      <c r="AD16" s="187"/>
      <c r="AE16" s="188"/>
    </row>
    <row r="17" spans="2:31" s="50" customFormat="1" ht="18.75" customHeight="1" x14ac:dyDescent="0.15">
      <c r="B17" s="51">
        <v>8</v>
      </c>
      <c r="C17" s="52" t="s">
        <v>13</v>
      </c>
      <c r="D17" s="183" t="str">
        <f>Competitors!F8</f>
        <v>Фамилия Имя Отчество</v>
      </c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5"/>
      <c r="Q17" s="186"/>
      <c r="R17" s="187"/>
      <c r="S17" s="187"/>
      <c r="T17" s="187"/>
      <c r="U17" s="187"/>
      <c r="V17" s="187"/>
      <c r="W17" s="187"/>
      <c r="X17" s="187"/>
      <c r="Y17" s="187"/>
      <c r="Z17" s="188"/>
      <c r="AA17" s="186"/>
      <c r="AB17" s="187"/>
      <c r="AC17" s="187"/>
      <c r="AD17" s="187"/>
      <c r="AE17" s="188"/>
    </row>
    <row r="18" spans="2:31" s="50" customFormat="1" ht="18.75" customHeight="1" x14ac:dyDescent="0.15">
      <c r="B18" s="51">
        <v>9</v>
      </c>
      <c r="C18" s="52" t="s">
        <v>13</v>
      </c>
      <c r="D18" s="183" t="str">
        <f>Competitors!F9</f>
        <v>Фамилия Имя Отчество</v>
      </c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5"/>
      <c r="Q18" s="186"/>
      <c r="R18" s="187"/>
      <c r="S18" s="187"/>
      <c r="T18" s="187"/>
      <c r="U18" s="187"/>
      <c r="V18" s="187"/>
      <c r="W18" s="187"/>
      <c r="X18" s="187"/>
      <c r="Y18" s="187"/>
      <c r="Z18" s="188"/>
      <c r="AA18" s="186"/>
      <c r="AB18" s="187"/>
      <c r="AC18" s="187"/>
      <c r="AD18" s="187"/>
      <c r="AE18" s="188"/>
    </row>
    <row r="19" spans="2:31" s="50" customFormat="1" ht="18.75" customHeight="1" x14ac:dyDescent="0.15">
      <c r="B19" s="51">
        <v>10</v>
      </c>
      <c r="C19" s="52" t="s">
        <v>13</v>
      </c>
      <c r="D19" s="183" t="str">
        <f>Competitors!F10</f>
        <v>Фамилия Имя Отчество</v>
      </c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4"/>
      <c r="P19" s="185"/>
      <c r="Q19" s="186"/>
      <c r="R19" s="187"/>
      <c r="S19" s="187"/>
      <c r="T19" s="187"/>
      <c r="U19" s="187"/>
      <c r="V19" s="187"/>
      <c r="W19" s="187"/>
      <c r="X19" s="187"/>
      <c r="Y19" s="187"/>
      <c r="Z19" s="188"/>
      <c r="AA19" s="186"/>
      <c r="AB19" s="187"/>
      <c r="AC19" s="187"/>
      <c r="AD19" s="187"/>
      <c r="AE19" s="188"/>
    </row>
    <row r="20" spans="2:31" s="50" customFormat="1" ht="18.75" customHeight="1" x14ac:dyDescent="0.15">
      <c r="B20" s="51">
        <v>11</v>
      </c>
      <c r="C20" s="52" t="s">
        <v>13</v>
      </c>
      <c r="D20" s="183" t="str">
        <f>Competitors!F11</f>
        <v>Фамилия Имя Отчество</v>
      </c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184"/>
      <c r="P20" s="185"/>
      <c r="Q20" s="186"/>
      <c r="R20" s="187"/>
      <c r="S20" s="187"/>
      <c r="T20" s="187"/>
      <c r="U20" s="187"/>
      <c r="V20" s="187"/>
      <c r="W20" s="187"/>
      <c r="X20" s="187"/>
      <c r="Y20" s="187"/>
      <c r="Z20" s="188"/>
      <c r="AA20" s="186"/>
      <c r="AB20" s="187"/>
      <c r="AC20" s="187"/>
      <c r="AD20" s="187"/>
      <c r="AE20" s="188"/>
    </row>
    <row r="21" spans="2:31" s="50" customFormat="1" ht="18.75" customHeight="1" x14ac:dyDescent="0.15">
      <c r="B21" s="51">
        <v>12</v>
      </c>
      <c r="C21" s="52" t="s">
        <v>13</v>
      </c>
      <c r="D21" s="183" t="str">
        <f>Competitors!F12</f>
        <v>Фамилия Имя Отчество</v>
      </c>
      <c r="E21" s="184"/>
      <c r="F21" s="184"/>
      <c r="G21" s="184"/>
      <c r="H21" s="184"/>
      <c r="I21" s="184"/>
      <c r="J21" s="184"/>
      <c r="K21" s="184"/>
      <c r="L21" s="184"/>
      <c r="M21" s="184"/>
      <c r="N21" s="184"/>
      <c r="O21" s="184"/>
      <c r="P21" s="185"/>
      <c r="Q21" s="186"/>
      <c r="R21" s="187"/>
      <c r="S21" s="187"/>
      <c r="T21" s="187"/>
      <c r="U21" s="187"/>
      <c r="V21" s="187"/>
      <c r="W21" s="187"/>
      <c r="X21" s="187"/>
      <c r="Y21" s="187"/>
      <c r="Z21" s="188"/>
      <c r="AA21" s="186"/>
      <c r="AB21" s="187"/>
      <c r="AC21" s="187"/>
      <c r="AD21" s="187"/>
      <c r="AE21" s="188"/>
    </row>
    <row r="22" spans="2:31" s="50" customFormat="1" ht="18.75" customHeight="1" x14ac:dyDescent="0.15">
      <c r="B22" s="51">
        <v>13</v>
      </c>
      <c r="C22" s="52" t="s">
        <v>13</v>
      </c>
      <c r="D22" s="183" t="str">
        <f>Competitors!F13</f>
        <v>Фамилия Имя Отчество</v>
      </c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5"/>
      <c r="Q22" s="186"/>
      <c r="R22" s="187"/>
      <c r="S22" s="187"/>
      <c r="T22" s="187"/>
      <c r="U22" s="187"/>
      <c r="V22" s="187"/>
      <c r="W22" s="187"/>
      <c r="X22" s="187"/>
      <c r="Y22" s="187"/>
      <c r="Z22" s="188"/>
      <c r="AA22" s="186"/>
      <c r="AB22" s="187"/>
      <c r="AC22" s="187"/>
      <c r="AD22" s="187"/>
      <c r="AE22" s="188"/>
    </row>
    <row r="23" spans="2:31" s="50" customFormat="1" ht="18.75" customHeight="1" x14ac:dyDescent="0.15">
      <c r="B23" s="51">
        <v>14</v>
      </c>
      <c r="C23" s="52" t="s">
        <v>13</v>
      </c>
      <c r="D23" s="183" t="str">
        <f>Competitors!F14</f>
        <v>Фамилия Имя Отчество</v>
      </c>
      <c r="E23" s="184"/>
      <c r="F23" s="184"/>
      <c r="G23" s="184"/>
      <c r="H23" s="184"/>
      <c r="I23" s="184"/>
      <c r="J23" s="184"/>
      <c r="K23" s="184"/>
      <c r="L23" s="184"/>
      <c r="M23" s="184"/>
      <c r="N23" s="184"/>
      <c r="O23" s="184"/>
      <c r="P23" s="185"/>
      <c r="Q23" s="186"/>
      <c r="R23" s="187"/>
      <c r="S23" s="187"/>
      <c r="T23" s="187"/>
      <c r="U23" s="187"/>
      <c r="V23" s="187"/>
      <c r="W23" s="187"/>
      <c r="X23" s="187"/>
      <c r="Y23" s="187"/>
      <c r="Z23" s="188"/>
      <c r="AA23" s="186"/>
      <c r="AB23" s="187"/>
      <c r="AC23" s="187"/>
      <c r="AD23" s="187"/>
      <c r="AE23" s="188"/>
    </row>
    <row r="24" spans="2:31" s="50" customFormat="1" ht="18.75" customHeight="1" x14ac:dyDescent="0.15">
      <c r="B24" s="51">
        <v>15</v>
      </c>
      <c r="C24" s="52" t="s">
        <v>13</v>
      </c>
      <c r="D24" s="183" t="str">
        <f>Competitors!F15</f>
        <v xml:space="preserve">  </v>
      </c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4"/>
      <c r="P24" s="185"/>
      <c r="Q24" s="186"/>
      <c r="R24" s="187"/>
      <c r="S24" s="187"/>
      <c r="T24" s="187"/>
      <c r="U24" s="187"/>
      <c r="V24" s="187"/>
      <c r="W24" s="187"/>
      <c r="X24" s="187"/>
      <c r="Y24" s="187"/>
      <c r="Z24" s="188"/>
      <c r="AA24" s="186"/>
      <c r="AB24" s="187"/>
      <c r="AC24" s="187"/>
      <c r="AD24" s="187"/>
      <c r="AE24" s="188"/>
    </row>
    <row r="25" spans="2:31" s="50" customFormat="1" ht="18.75" customHeight="1" x14ac:dyDescent="0.15">
      <c r="B25" s="51">
        <v>16</v>
      </c>
      <c r="C25" s="52" t="s">
        <v>13</v>
      </c>
      <c r="D25" s="183" t="str">
        <f>Competitors!F16</f>
        <v xml:space="preserve">  </v>
      </c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5"/>
      <c r="Q25" s="186"/>
      <c r="R25" s="187"/>
      <c r="S25" s="187"/>
      <c r="T25" s="187"/>
      <c r="U25" s="187"/>
      <c r="V25" s="187"/>
      <c r="W25" s="187"/>
      <c r="X25" s="187"/>
      <c r="Y25" s="187"/>
      <c r="Z25" s="188"/>
      <c r="AA25" s="186"/>
      <c r="AB25" s="187"/>
      <c r="AC25" s="187"/>
      <c r="AD25" s="187"/>
      <c r="AE25" s="188"/>
    </row>
    <row r="26" spans="2:31" s="50" customFormat="1" ht="18.75" customHeight="1" x14ac:dyDescent="0.15">
      <c r="B26" s="51">
        <v>17</v>
      </c>
      <c r="C26" s="52" t="s">
        <v>13</v>
      </c>
      <c r="D26" s="183" t="str">
        <f>Competitors!F17</f>
        <v xml:space="preserve">  </v>
      </c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5"/>
      <c r="Q26" s="186"/>
      <c r="R26" s="187"/>
      <c r="S26" s="187"/>
      <c r="T26" s="187"/>
      <c r="U26" s="187"/>
      <c r="V26" s="187"/>
      <c r="W26" s="187"/>
      <c r="X26" s="187"/>
      <c r="Y26" s="187"/>
      <c r="Z26" s="188"/>
      <c r="AA26" s="186"/>
      <c r="AB26" s="187"/>
      <c r="AC26" s="187"/>
      <c r="AD26" s="187"/>
      <c r="AE26" s="188"/>
    </row>
    <row r="27" spans="2:31" s="50" customFormat="1" ht="18.75" customHeight="1" x14ac:dyDescent="0.15">
      <c r="B27" s="51">
        <v>18</v>
      </c>
      <c r="C27" s="52" t="s">
        <v>13</v>
      </c>
      <c r="D27" s="183" t="str">
        <f>Competitors!F18</f>
        <v xml:space="preserve">  </v>
      </c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5"/>
      <c r="Q27" s="186"/>
      <c r="R27" s="187"/>
      <c r="S27" s="187"/>
      <c r="T27" s="187"/>
      <c r="U27" s="187"/>
      <c r="V27" s="187"/>
      <c r="W27" s="187"/>
      <c r="X27" s="187"/>
      <c r="Y27" s="187"/>
      <c r="Z27" s="188"/>
      <c r="AA27" s="186"/>
      <c r="AB27" s="187"/>
      <c r="AC27" s="187"/>
      <c r="AD27" s="187"/>
      <c r="AE27" s="188"/>
    </row>
    <row r="28" spans="2:31" s="50" customFormat="1" ht="18.75" customHeight="1" x14ac:dyDescent="0.15">
      <c r="B28" s="51">
        <v>19</v>
      </c>
      <c r="C28" s="52" t="s">
        <v>13</v>
      </c>
      <c r="D28" s="183" t="str">
        <f>Competitors!F19</f>
        <v xml:space="preserve">  </v>
      </c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5"/>
      <c r="Q28" s="186"/>
      <c r="R28" s="187"/>
      <c r="S28" s="187"/>
      <c r="T28" s="187"/>
      <c r="U28" s="187"/>
      <c r="V28" s="187"/>
      <c r="W28" s="187"/>
      <c r="X28" s="187"/>
      <c r="Y28" s="187"/>
      <c r="Z28" s="188"/>
      <c r="AA28" s="186"/>
      <c r="AB28" s="187"/>
      <c r="AC28" s="187"/>
      <c r="AD28" s="187"/>
      <c r="AE28" s="188"/>
    </row>
    <row r="29" spans="2:31" s="50" customFormat="1" ht="18.75" customHeight="1" x14ac:dyDescent="0.15">
      <c r="B29" s="51">
        <v>20</v>
      </c>
      <c r="C29" s="52" t="s">
        <v>13</v>
      </c>
      <c r="D29" s="183" t="str">
        <f>Competitors!F20</f>
        <v xml:space="preserve">  </v>
      </c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5"/>
      <c r="Q29" s="186"/>
      <c r="R29" s="187"/>
      <c r="S29" s="187"/>
      <c r="T29" s="187"/>
      <c r="U29" s="187"/>
      <c r="V29" s="187"/>
      <c r="W29" s="187"/>
      <c r="X29" s="187"/>
      <c r="Y29" s="187"/>
      <c r="Z29" s="188"/>
      <c r="AA29" s="186"/>
      <c r="AB29" s="187"/>
      <c r="AC29" s="187"/>
      <c r="AD29" s="187"/>
      <c r="AE29" s="188"/>
    </row>
    <row r="30" spans="2:31" s="50" customFormat="1" ht="18.75" customHeight="1" x14ac:dyDescent="0.15">
      <c r="B30" s="51">
        <v>21</v>
      </c>
      <c r="C30" s="52" t="s">
        <v>13</v>
      </c>
      <c r="D30" s="183" t="str">
        <f>Competitors!F21</f>
        <v xml:space="preserve">  </v>
      </c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5"/>
      <c r="Q30" s="186"/>
      <c r="R30" s="187"/>
      <c r="S30" s="187"/>
      <c r="T30" s="187"/>
      <c r="U30" s="187"/>
      <c r="V30" s="187"/>
      <c r="W30" s="187"/>
      <c r="X30" s="187"/>
      <c r="Y30" s="187"/>
      <c r="Z30" s="188"/>
      <c r="AA30" s="186"/>
      <c r="AB30" s="187"/>
      <c r="AC30" s="187"/>
      <c r="AD30" s="187"/>
      <c r="AE30" s="188"/>
    </row>
    <row r="31" spans="2:31" s="50" customFormat="1" ht="18.75" customHeight="1" x14ac:dyDescent="0.15">
      <c r="B31" s="51">
        <v>22</v>
      </c>
      <c r="C31" s="52" t="s">
        <v>13</v>
      </c>
      <c r="D31" s="183" t="str">
        <f>Competitors!F22</f>
        <v xml:space="preserve">  </v>
      </c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5"/>
      <c r="Q31" s="186"/>
      <c r="R31" s="187"/>
      <c r="S31" s="187"/>
      <c r="T31" s="187"/>
      <c r="U31" s="187"/>
      <c r="V31" s="187"/>
      <c r="W31" s="187"/>
      <c r="X31" s="187"/>
      <c r="Y31" s="187"/>
      <c r="Z31" s="188"/>
      <c r="AA31" s="186"/>
      <c r="AB31" s="187"/>
      <c r="AC31" s="187"/>
      <c r="AD31" s="187"/>
      <c r="AE31" s="188"/>
    </row>
    <row r="32" spans="2:31" s="50" customFormat="1" ht="18.75" customHeight="1" x14ac:dyDescent="0.15">
      <c r="B32" s="51">
        <v>23</v>
      </c>
      <c r="C32" s="52" t="s">
        <v>13</v>
      </c>
      <c r="D32" s="183" t="str">
        <f>Competitors!F23</f>
        <v xml:space="preserve">  </v>
      </c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5"/>
      <c r="Q32" s="186"/>
      <c r="R32" s="187"/>
      <c r="S32" s="187"/>
      <c r="T32" s="187"/>
      <c r="U32" s="187"/>
      <c r="V32" s="187"/>
      <c r="W32" s="187"/>
      <c r="X32" s="187"/>
      <c r="Y32" s="187"/>
      <c r="Z32" s="188"/>
      <c r="AA32" s="186"/>
      <c r="AB32" s="187"/>
      <c r="AC32" s="187"/>
      <c r="AD32" s="187"/>
      <c r="AE32" s="188"/>
    </row>
    <row r="33" spans="2:31" s="50" customFormat="1" ht="18.75" customHeight="1" x14ac:dyDescent="0.15">
      <c r="B33" s="51">
        <v>24</v>
      </c>
      <c r="C33" s="52" t="s">
        <v>13</v>
      </c>
      <c r="D33" s="183" t="str">
        <f>Competitors!F24</f>
        <v xml:space="preserve">  </v>
      </c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5"/>
      <c r="Q33" s="186"/>
      <c r="R33" s="187"/>
      <c r="S33" s="187"/>
      <c r="T33" s="187"/>
      <c r="U33" s="187"/>
      <c r="V33" s="187"/>
      <c r="W33" s="187"/>
      <c r="X33" s="187"/>
      <c r="Y33" s="187"/>
      <c r="Z33" s="188"/>
      <c r="AA33" s="186"/>
      <c r="AB33" s="187"/>
      <c r="AC33" s="187"/>
      <c r="AD33" s="187"/>
      <c r="AE33" s="188"/>
    </row>
    <row r="34" spans="2:31" s="50" customFormat="1" ht="18.75" customHeight="1" x14ac:dyDescent="0.15">
      <c r="B34" s="51">
        <v>25</v>
      </c>
      <c r="C34" s="52" t="s">
        <v>13</v>
      </c>
      <c r="D34" s="196" t="str">
        <f>Competitors!F25</f>
        <v xml:space="preserve">  </v>
      </c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7"/>
      <c r="R34" s="197"/>
      <c r="S34" s="197"/>
      <c r="T34" s="197"/>
      <c r="U34" s="197"/>
      <c r="V34" s="197"/>
      <c r="W34" s="197"/>
      <c r="X34" s="197"/>
      <c r="Y34" s="197"/>
      <c r="Z34" s="197"/>
      <c r="AA34" s="197"/>
      <c r="AB34" s="197"/>
      <c r="AC34" s="197"/>
      <c r="AD34" s="197"/>
      <c r="AE34" s="197"/>
    </row>
    <row r="35" spans="2:31" s="50" customFormat="1" ht="15" customHeight="1" x14ac:dyDescent="0.15">
      <c r="B35" s="53"/>
      <c r="C35" s="53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</row>
    <row r="36" spans="2:31" s="50" customFormat="1" ht="14.25" x14ac:dyDescent="0.15">
      <c r="B36" s="104" t="s">
        <v>14</v>
      </c>
      <c r="C36" s="104"/>
      <c r="D36" s="104"/>
      <c r="E36" s="104"/>
      <c r="F36" s="198">
        <f>Чемп!B8</f>
        <v>44433</v>
      </c>
      <c r="G36" s="198"/>
      <c r="H36" s="198"/>
      <c r="I36" s="198"/>
      <c r="J36" s="198"/>
      <c r="K36" s="198"/>
      <c r="L36" s="57"/>
      <c r="M36" s="57"/>
      <c r="N36" s="57"/>
      <c r="O36" s="57"/>
      <c r="P36" s="57"/>
      <c r="Q36" s="53"/>
      <c r="S36" s="105" t="s">
        <v>107</v>
      </c>
      <c r="T36" s="105"/>
      <c r="U36" s="105"/>
      <c r="V36" s="105"/>
      <c r="W36" s="105"/>
      <c r="X36" s="105"/>
      <c r="Y36" s="105"/>
      <c r="Z36" s="106"/>
      <c r="AA36" s="106"/>
      <c r="AB36" s="106"/>
      <c r="AC36" s="106"/>
      <c r="AD36" s="106"/>
      <c r="AE36" s="106"/>
    </row>
    <row r="37" spans="2:31" x14ac:dyDescent="0.15">
      <c r="Z37" s="195" t="s">
        <v>16</v>
      </c>
      <c r="AA37" s="195"/>
      <c r="AB37" s="195"/>
      <c r="AC37" s="195"/>
      <c r="AD37" s="195"/>
      <c r="AE37" s="195"/>
    </row>
  </sheetData>
  <sheetProtection formatCells="0" formatColumns="0" formatRows="0"/>
  <mergeCells count="91">
    <mergeCell ref="D31:P31"/>
    <mergeCell ref="Q31:Z31"/>
    <mergeCell ref="AA31:AE31"/>
    <mergeCell ref="D32:P32"/>
    <mergeCell ref="Q32:Z32"/>
    <mergeCell ref="AA32:AE32"/>
    <mergeCell ref="Z37:AE37"/>
    <mergeCell ref="D33:P33"/>
    <mergeCell ref="Q33:Z33"/>
    <mergeCell ref="AA33:AE33"/>
    <mergeCell ref="D34:P34"/>
    <mergeCell ref="Q34:Z34"/>
    <mergeCell ref="AA34:AE34"/>
    <mergeCell ref="B36:E36"/>
    <mergeCell ref="F36:K36"/>
    <mergeCell ref="S36:Y36"/>
    <mergeCell ref="Z36:AE36"/>
    <mergeCell ref="D30:P30"/>
    <mergeCell ref="Q30:Z30"/>
    <mergeCell ref="AA30:AE30"/>
    <mergeCell ref="D27:P27"/>
    <mergeCell ref="Q27:Z27"/>
    <mergeCell ref="AA27:AE27"/>
    <mergeCell ref="D28:P28"/>
    <mergeCell ref="Q28:Z28"/>
    <mergeCell ref="AA28:AE28"/>
    <mergeCell ref="D29:P29"/>
    <mergeCell ref="Q29:Z29"/>
    <mergeCell ref="AA29:AE29"/>
    <mergeCell ref="D25:P25"/>
    <mergeCell ref="Q25:Z25"/>
    <mergeCell ref="AA25:AE25"/>
    <mergeCell ref="D26:P26"/>
    <mergeCell ref="Q26:Z26"/>
    <mergeCell ref="AA26:AE26"/>
    <mergeCell ref="D23:P23"/>
    <mergeCell ref="Q23:Z23"/>
    <mergeCell ref="AA23:AE23"/>
    <mergeCell ref="D24:P24"/>
    <mergeCell ref="Q24:Z24"/>
    <mergeCell ref="AA24:AE24"/>
    <mergeCell ref="D21:P21"/>
    <mergeCell ref="Q21:Z21"/>
    <mergeCell ref="AA21:AE21"/>
    <mergeCell ref="D22:P22"/>
    <mergeCell ref="Q22:Z22"/>
    <mergeCell ref="AA22:AE22"/>
    <mergeCell ref="D19:P19"/>
    <mergeCell ref="Q19:Z19"/>
    <mergeCell ref="AA19:AE19"/>
    <mergeCell ref="D20:P20"/>
    <mergeCell ref="Q20:Z20"/>
    <mergeCell ref="AA20:AE20"/>
    <mergeCell ref="D17:P17"/>
    <mergeCell ref="Q17:Z17"/>
    <mergeCell ref="AA17:AE17"/>
    <mergeCell ref="D18:P18"/>
    <mergeCell ref="Q18:Z18"/>
    <mergeCell ref="AA18:AE18"/>
    <mergeCell ref="D16:P16"/>
    <mergeCell ref="Q16:Z16"/>
    <mergeCell ref="AA16:AE16"/>
    <mergeCell ref="D13:P13"/>
    <mergeCell ref="Q13:Z13"/>
    <mergeCell ref="AA13:AE13"/>
    <mergeCell ref="D14:P14"/>
    <mergeCell ref="Q14:Z14"/>
    <mergeCell ref="AA14:AE14"/>
    <mergeCell ref="D15:P15"/>
    <mergeCell ref="Q15:Z15"/>
    <mergeCell ref="AA15:AE15"/>
    <mergeCell ref="D11:P11"/>
    <mergeCell ref="Q11:Z11"/>
    <mergeCell ref="AA11:AE11"/>
    <mergeCell ref="D12:P12"/>
    <mergeCell ref="Q12:Z12"/>
    <mergeCell ref="AA12:AE12"/>
    <mergeCell ref="D10:P10"/>
    <mergeCell ref="Q10:Z10"/>
    <mergeCell ref="AA10:AE10"/>
    <mergeCell ref="B2:AF2"/>
    <mergeCell ref="B3:AE3"/>
    <mergeCell ref="B4:J4"/>
    <mergeCell ref="K4:AE4"/>
    <mergeCell ref="B5:J5"/>
    <mergeCell ref="B6:M6"/>
    <mergeCell ref="C7:AD7"/>
    <mergeCell ref="B9:C9"/>
    <mergeCell ref="D9:P9"/>
    <mergeCell ref="Q9:Z9"/>
    <mergeCell ref="AA9:AE9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6"/>
  <dimension ref="A1:AF31"/>
  <sheetViews>
    <sheetView view="pageBreakPreview" zoomScale="85" zoomScaleNormal="100" zoomScaleSheetLayoutView="85" workbookViewId="0">
      <selection activeCell="AL11" sqref="AL11"/>
    </sheetView>
  </sheetViews>
  <sheetFormatPr defaultColWidth="9.14453125" defaultRowHeight="13.5" x14ac:dyDescent="0.15"/>
  <cols>
    <col min="1" max="1" width="4.5703125" style="1" customWidth="1"/>
    <col min="2" max="2" width="1.4765625" style="1" customWidth="1"/>
    <col min="3" max="6" width="3.09375" style="1" customWidth="1"/>
    <col min="7" max="7" width="1.4765625" style="1" customWidth="1"/>
    <col min="8" max="8" width="3.09375" style="1" customWidth="1"/>
    <col min="9" max="9" width="4.5703125" style="1" customWidth="1"/>
    <col min="10" max="11" width="3.09375" style="1" customWidth="1"/>
    <col min="12" max="12" width="2.5546875" style="1" customWidth="1"/>
    <col min="13" max="13" width="2.82421875" style="1" customWidth="1"/>
    <col min="14" max="15" width="3.09375" style="1" customWidth="1"/>
    <col min="16" max="16" width="2.41796875" style="1" customWidth="1"/>
    <col min="17" max="17" width="3.359375" style="1" customWidth="1"/>
    <col min="18" max="18" width="2.41796875" style="1" customWidth="1"/>
    <col min="19" max="19" width="4.3046875" style="1" customWidth="1"/>
    <col min="20" max="20" width="3.09375" style="1" customWidth="1"/>
    <col min="21" max="21" width="1.74609375" style="1" customWidth="1"/>
    <col min="22" max="23" width="2.41796875" style="1" customWidth="1"/>
    <col min="24" max="24" width="4.3046875" style="1" customWidth="1"/>
    <col min="25" max="25" width="2.5546875" style="1" customWidth="1"/>
    <col min="26" max="26" width="8.7421875" style="1" customWidth="1"/>
    <col min="27" max="27" width="4.3046875" style="1" hidden="1" customWidth="1"/>
    <col min="28" max="28" width="4.16796875" style="1" hidden="1" customWidth="1"/>
    <col min="29" max="29" width="4.5703125" style="1" hidden="1" customWidth="1"/>
    <col min="30" max="30" width="3.2265625" style="1" hidden="1" customWidth="1"/>
    <col min="31" max="31" width="2.41796875" style="1" customWidth="1"/>
    <col min="32" max="34" width="3.09375" style="1" customWidth="1"/>
    <col min="35" max="16384" width="9.14453125" style="1"/>
  </cols>
  <sheetData>
    <row r="1" spans="1:32" ht="65.45" customHeight="1" x14ac:dyDescent="0.15"/>
    <row r="2" spans="1:32" ht="18" x14ac:dyDescent="0.2">
      <c r="B2" s="15"/>
      <c r="C2" s="102" t="s">
        <v>89</v>
      </c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5"/>
      <c r="AD2" s="15"/>
      <c r="AE2" s="15"/>
    </row>
    <row r="3" spans="1:32" ht="45.6" customHeight="1" x14ac:dyDescent="0.15">
      <c r="A3" s="96" t="s">
        <v>3</v>
      </c>
      <c r="B3" s="96"/>
      <c r="C3" s="96"/>
      <c r="D3" s="96"/>
      <c r="E3" s="96"/>
      <c r="F3" s="96"/>
      <c r="G3" s="96"/>
      <c r="H3" s="96"/>
      <c r="I3" s="96"/>
      <c r="J3" s="207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/>
    </row>
    <row r="4" spans="1:32" ht="23.25" customHeight="1" x14ac:dyDescent="0.15">
      <c r="A4" s="96" t="s">
        <v>6</v>
      </c>
      <c r="B4" s="96"/>
      <c r="C4" s="96"/>
      <c r="D4" s="96"/>
      <c r="E4" s="96"/>
      <c r="F4" s="96"/>
      <c r="G4" s="96"/>
      <c r="H4" s="96"/>
      <c r="I4" s="96"/>
      <c r="J4" s="7" t="str">
        <f>CONCATENATE(Чемп!B4," ",Чемп!C4)</f>
        <v>№ (заполнить) Название (заполнить)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</row>
    <row r="5" spans="1:32" ht="21.75" customHeight="1" x14ac:dyDescent="0.15">
      <c r="A5" s="123" t="s">
        <v>98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7" t="str">
        <f>CONCATENATE(Experts!B1," ",Experts!C1," ",Experts!D1)</f>
        <v>Фамилия Имя Отчество</v>
      </c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</row>
    <row r="6" spans="1:32" ht="11.25" customHeight="1" x14ac:dyDescent="0.15"/>
    <row r="7" spans="1:32" s="50" customFormat="1" ht="31.5" customHeight="1" x14ac:dyDescent="0.15">
      <c r="A7" s="98" t="s">
        <v>9</v>
      </c>
      <c r="B7" s="98"/>
      <c r="C7" s="99" t="s">
        <v>11</v>
      </c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201">
        <v>43214</v>
      </c>
      <c r="Q7" s="202"/>
      <c r="R7" s="202"/>
      <c r="S7" s="202"/>
      <c r="T7" s="202"/>
      <c r="U7" s="203"/>
      <c r="V7" s="204">
        <v>43215</v>
      </c>
      <c r="W7" s="205"/>
      <c r="X7" s="205"/>
      <c r="Y7" s="205"/>
      <c r="Z7" s="206"/>
      <c r="AA7" s="201">
        <f>Чемп!B11</f>
        <v>44436</v>
      </c>
      <c r="AB7" s="202"/>
      <c r="AC7" s="202"/>
      <c r="AD7" s="203"/>
    </row>
    <row r="8" spans="1:32" s="50" customFormat="1" ht="24.75" customHeight="1" x14ac:dyDescent="0.15">
      <c r="A8" s="51">
        <v>1</v>
      </c>
      <c r="B8" s="52" t="s">
        <v>13</v>
      </c>
      <c r="C8" s="183" t="str">
        <f>Experts!F1</f>
        <v>Фамилия Имя Отчество</v>
      </c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5"/>
      <c r="P8" s="186"/>
      <c r="Q8" s="187"/>
      <c r="R8" s="187"/>
      <c r="S8" s="187"/>
      <c r="T8" s="187"/>
      <c r="U8" s="188"/>
      <c r="V8" s="186"/>
      <c r="W8" s="187"/>
      <c r="X8" s="187"/>
      <c r="Y8" s="187"/>
      <c r="Z8" s="188"/>
      <c r="AA8" s="197"/>
      <c r="AB8" s="197"/>
      <c r="AC8" s="197"/>
      <c r="AD8" s="197"/>
    </row>
    <row r="9" spans="1:32" s="50" customFormat="1" ht="24.75" customHeight="1" x14ac:dyDescent="0.15">
      <c r="A9" s="51">
        <v>2</v>
      </c>
      <c r="B9" s="52" t="s">
        <v>13</v>
      </c>
      <c r="C9" s="183" t="str">
        <f>Experts!F2</f>
        <v>Фамилия Имя Отчество</v>
      </c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5"/>
      <c r="P9" s="186"/>
      <c r="Q9" s="187"/>
      <c r="R9" s="187"/>
      <c r="S9" s="187"/>
      <c r="T9" s="187"/>
      <c r="U9" s="188"/>
      <c r="V9" s="186"/>
      <c r="W9" s="187"/>
      <c r="X9" s="187"/>
      <c r="Y9" s="187"/>
      <c r="Z9" s="188"/>
      <c r="AA9" s="197"/>
      <c r="AB9" s="197"/>
      <c r="AC9" s="197"/>
      <c r="AD9" s="197"/>
    </row>
    <row r="10" spans="1:32" s="50" customFormat="1" ht="24.75" customHeight="1" x14ac:dyDescent="0.15">
      <c r="A10" s="51">
        <v>3</v>
      </c>
      <c r="B10" s="52" t="s">
        <v>13</v>
      </c>
      <c r="C10" s="183" t="str">
        <f>Experts!F3</f>
        <v>Фамилия Имя Отчество</v>
      </c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5"/>
      <c r="P10" s="186"/>
      <c r="Q10" s="187"/>
      <c r="R10" s="187"/>
      <c r="S10" s="187"/>
      <c r="T10" s="187"/>
      <c r="U10" s="188"/>
      <c r="V10" s="186"/>
      <c r="W10" s="187"/>
      <c r="X10" s="187"/>
      <c r="Y10" s="187"/>
      <c r="Z10" s="188"/>
      <c r="AA10" s="197"/>
      <c r="AB10" s="197"/>
      <c r="AC10" s="197"/>
      <c r="AD10" s="197"/>
    </row>
    <row r="11" spans="1:32" s="50" customFormat="1" ht="24.75" customHeight="1" x14ac:dyDescent="0.15">
      <c r="A11" s="51">
        <v>4</v>
      </c>
      <c r="B11" s="52" t="s">
        <v>13</v>
      </c>
      <c r="C11" s="183" t="str">
        <f>Experts!F4</f>
        <v>Фамилия Имя Отчество</v>
      </c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5"/>
      <c r="P11" s="186"/>
      <c r="Q11" s="187"/>
      <c r="R11" s="187"/>
      <c r="S11" s="187"/>
      <c r="T11" s="187"/>
      <c r="U11" s="188"/>
      <c r="V11" s="186"/>
      <c r="W11" s="187"/>
      <c r="X11" s="187"/>
      <c r="Y11" s="187"/>
      <c r="Z11" s="188"/>
      <c r="AA11" s="197"/>
      <c r="AB11" s="197"/>
      <c r="AC11" s="197"/>
      <c r="AD11" s="197"/>
    </row>
    <row r="12" spans="1:32" s="50" customFormat="1" ht="24.75" customHeight="1" x14ac:dyDescent="0.15">
      <c r="A12" s="51">
        <v>5</v>
      </c>
      <c r="B12" s="52" t="s">
        <v>13</v>
      </c>
      <c r="C12" s="183" t="str">
        <f>Experts!F5</f>
        <v>Фамилия Имя Отчество</v>
      </c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5"/>
      <c r="P12" s="186"/>
      <c r="Q12" s="187"/>
      <c r="R12" s="187"/>
      <c r="S12" s="187"/>
      <c r="T12" s="187"/>
      <c r="U12" s="188"/>
      <c r="V12" s="186"/>
      <c r="W12" s="187"/>
      <c r="X12" s="187"/>
      <c r="Y12" s="187"/>
      <c r="Z12" s="188"/>
      <c r="AA12" s="197"/>
      <c r="AB12" s="197"/>
      <c r="AC12" s="197"/>
      <c r="AD12" s="197"/>
    </row>
    <row r="13" spans="1:32" s="50" customFormat="1" ht="24.75" customHeight="1" x14ac:dyDescent="0.15">
      <c r="A13" s="51">
        <v>6</v>
      </c>
      <c r="B13" s="52" t="s">
        <v>13</v>
      </c>
      <c r="C13" s="183" t="str">
        <f>Experts!F6</f>
        <v>Фамилия Имя Отчество</v>
      </c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P13" s="186"/>
      <c r="Q13" s="187"/>
      <c r="R13" s="187"/>
      <c r="S13" s="187"/>
      <c r="T13" s="187"/>
      <c r="U13" s="188"/>
      <c r="V13" s="186"/>
      <c r="W13" s="187"/>
      <c r="X13" s="187"/>
      <c r="Y13" s="187"/>
      <c r="Z13" s="188"/>
      <c r="AA13" s="197"/>
      <c r="AB13" s="197"/>
      <c r="AC13" s="197"/>
      <c r="AD13" s="197"/>
    </row>
    <row r="14" spans="1:32" s="50" customFormat="1" ht="24.75" customHeight="1" x14ac:dyDescent="0.15">
      <c r="A14" s="51">
        <v>7</v>
      </c>
      <c r="B14" s="52" t="s">
        <v>13</v>
      </c>
      <c r="C14" s="183" t="str">
        <f>Experts!F7</f>
        <v>Фамилия Имя Отчество</v>
      </c>
      <c r="D14" s="184"/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5"/>
      <c r="P14" s="186"/>
      <c r="Q14" s="187"/>
      <c r="R14" s="187"/>
      <c r="S14" s="187"/>
      <c r="T14" s="187"/>
      <c r="U14" s="188"/>
      <c r="V14" s="186"/>
      <c r="W14" s="187"/>
      <c r="X14" s="187"/>
      <c r="Y14" s="187"/>
      <c r="Z14" s="188"/>
      <c r="AA14" s="197"/>
      <c r="AB14" s="197"/>
      <c r="AC14" s="197"/>
      <c r="AD14" s="197"/>
    </row>
    <row r="15" spans="1:32" s="50" customFormat="1" ht="24.75" customHeight="1" x14ac:dyDescent="0.15">
      <c r="A15" s="51">
        <v>8</v>
      </c>
      <c r="B15" s="52" t="s">
        <v>13</v>
      </c>
      <c r="C15" s="183" t="str">
        <f>Experts!F8</f>
        <v>Фамилия Имя Отчество</v>
      </c>
      <c r="D15" s="184"/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5"/>
      <c r="P15" s="186"/>
      <c r="Q15" s="187"/>
      <c r="R15" s="187"/>
      <c r="S15" s="187"/>
      <c r="T15" s="187"/>
      <c r="U15" s="188"/>
      <c r="V15" s="186"/>
      <c r="W15" s="187"/>
      <c r="X15" s="187"/>
      <c r="Y15" s="187"/>
      <c r="Z15" s="188"/>
      <c r="AA15" s="197"/>
      <c r="AB15" s="197"/>
      <c r="AC15" s="197"/>
      <c r="AD15" s="197"/>
    </row>
    <row r="16" spans="1:32" s="50" customFormat="1" ht="24.75" customHeight="1" x14ac:dyDescent="0.15">
      <c r="A16" s="51">
        <v>9</v>
      </c>
      <c r="B16" s="52" t="s">
        <v>13</v>
      </c>
      <c r="C16" s="183" t="str">
        <f>Experts!F9</f>
        <v>Фамилия Имя Отчество</v>
      </c>
      <c r="D16" s="184"/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5"/>
      <c r="P16" s="186"/>
      <c r="Q16" s="187"/>
      <c r="R16" s="187"/>
      <c r="S16" s="187"/>
      <c r="T16" s="187"/>
      <c r="U16" s="188"/>
      <c r="V16" s="186"/>
      <c r="W16" s="187"/>
      <c r="X16" s="187"/>
      <c r="Y16" s="187"/>
      <c r="Z16" s="188"/>
      <c r="AA16" s="197"/>
      <c r="AB16" s="197"/>
      <c r="AC16" s="197"/>
      <c r="AD16" s="197"/>
    </row>
    <row r="17" spans="1:30" s="50" customFormat="1" ht="24.75" hidden="1" customHeight="1" x14ac:dyDescent="0.15">
      <c r="A17" s="51">
        <v>10</v>
      </c>
      <c r="B17" s="52" t="s">
        <v>13</v>
      </c>
      <c r="C17" s="183" t="str">
        <f>Experts!F10</f>
        <v>Фамилия Имя Отчество</v>
      </c>
      <c r="D17" s="184"/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5"/>
      <c r="P17" s="186"/>
      <c r="Q17" s="187"/>
      <c r="R17" s="187"/>
      <c r="S17" s="187"/>
      <c r="T17" s="187"/>
      <c r="U17" s="188"/>
      <c r="V17" s="186"/>
      <c r="W17" s="187"/>
      <c r="X17" s="187"/>
      <c r="Y17" s="187"/>
      <c r="Z17" s="188"/>
      <c r="AA17" s="197"/>
      <c r="AB17" s="197"/>
      <c r="AC17" s="197"/>
      <c r="AD17" s="197"/>
    </row>
    <row r="18" spans="1:30" s="50" customFormat="1" ht="24.75" hidden="1" customHeight="1" x14ac:dyDescent="0.15">
      <c r="A18" s="51">
        <v>15</v>
      </c>
      <c r="B18" s="52" t="s">
        <v>13</v>
      </c>
      <c r="C18" s="183" t="str">
        <f>Experts!F11</f>
        <v xml:space="preserve">  </v>
      </c>
      <c r="D18" s="184"/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5"/>
      <c r="P18" s="186"/>
      <c r="Q18" s="187"/>
      <c r="R18" s="187"/>
      <c r="S18" s="187"/>
      <c r="T18" s="187"/>
      <c r="U18" s="188"/>
      <c r="V18" s="186"/>
      <c r="W18" s="187"/>
      <c r="X18" s="187"/>
      <c r="Y18" s="187"/>
      <c r="Z18" s="188"/>
      <c r="AA18" s="197"/>
      <c r="AB18" s="197"/>
      <c r="AC18" s="197"/>
      <c r="AD18" s="197"/>
    </row>
    <row r="19" spans="1:30" s="50" customFormat="1" ht="24.75" hidden="1" customHeight="1" x14ac:dyDescent="0.15">
      <c r="A19" s="51">
        <v>16</v>
      </c>
      <c r="B19" s="52" t="s">
        <v>13</v>
      </c>
      <c r="C19" s="183" t="str">
        <f>Experts!F16</f>
        <v xml:space="preserve">  </v>
      </c>
      <c r="D19" s="184"/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5"/>
      <c r="P19" s="186"/>
      <c r="Q19" s="187"/>
      <c r="R19" s="187"/>
      <c r="S19" s="187"/>
      <c r="T19" s="187"/>
      <c r="U19" s="188"/>
      <c r="V19" s="186"/>
      <c r="W19" s="187"/>
      <c r="X19" s="187"/>
      <c r="Y19" s="187"/>
      <c r="Z19" s="188"/>
      <c r="AA19" s="197"/>
      <c r="AB19" s="197"/>
      <c r="AC19" s="197"/>
      <c r="AD19" s="197"/>
    </row>
    <row r="20" spans="1:30" s="50" customFormat="1" ht="24.75" hidden="1" customHeight="1" x14ac:dyDescent="0.15">
      <c r="A20" s="51">
        <v>17</v>
      </c>
      <c r="B20" s="52" t="s">
        <v>13</v>
      </c>
      <c r="C20" s="183" t="str">
        <f>Experts!F17</f>
        <v xml:space="preserve">  </v>
      </c>
      <c r="D20" s="184"/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185"/>
      <c r="P20" s="186"/>
      <c r="Q20" s="187"/>
      <c r="R20" s="187"/>
      <c r="S20" s="187"/>
      <c r="T20" s="187"/>
      <c r="U20" s="188"/>
      <c r="V20" s="186"/>
      <c r="W20" s="187"/>
      <c r="X20" s="187"/>
      <c r="Y20" s="187"/>
      <c r="Z20" s="188"/>
      <c r="AA20" s="197"/>
      <c r="AB20" s="197"/>
      <c r="AC20" s="197"/>
      <c r="AD20" s="197"/>
    </row>
    <row r="21" spans="1:30" s="50" customFormat="1" ht="24.75" hidden="1" customHeight="1" x14ac:dyDescent="0.15">
      <c r="A21" s="51">
        <v>18</v>
      </c>
      <c r="B21" s="52" t="s">
        <v>13</v>
      </c>
      <c r="C21" s="183" t="str">
        <f>Experts!F18</f>
        <v xml:space="preserve">  </v>
      </c>
      <c r="D21" s="184"/>
      <c r="E21" s="184"/>
      <c r="F21" s="184"/>
      <c r="G21" s="184"/>
      <c r="H21" s="184"/>
      <c r="I21" s="184"/>
      <c r="J21" s="184"/>
      <c r="K21" s="184"/>
      <c r="L21" s="184"/>
      <c r="M21" s="184"/>
      <c r="N21" s="184"/>
      <c r="O21" s="185"/>
      <c r="P21" s="186"/>
      <c r="Q21" s="187"/>
      <c r="R21" s="187"/>
      <c r="S21" s="187"/>
      <c r="T21" s="187"/>
      <c r="U21" s="188"/>
      <c r="V21" s="186"/>
      <c r="W21" s="187"/>
      <c r="X21" s="187"/>
      <c r="Y21" s="187"/>
      <c r="Z21" s="188"/>
      <c r="AA21" s="197"/>
      <c r="AB21" s="197"/>
      <c r="AC21" s="197"/>
      <c r="AD21" s="197"/>
    </row>
    <row r="22" spans="1:30" s="50" customFormat="1" ht="24.75" hidden="1" customHeight="1" x14ac:dyDescent="0.15">
      <c r="A22" s="51">
        <v>19</v>
      </c>
      <c r="B22" s="52" t="s">
        <v>13</v>
      </c>
      <c r="C22" s="183" t="str">
        <f>Experts!F19</f>
        <v xml:space="preserve">  </v>
      </c>
      <c r="D22" s="184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5"/>
      <c r="P22" s="186"/>
      <c r="Q22" s="187"/>
      <c r="R22" s="187"/>
      <c r="S22" s="187"/>
      <c r="T22" s="187"/>
      <c r="U22" s="188"/>
      <c r="V22" s="186"/>
      <c r="W22" s="187"/>
      <c r="X22" s="187"/>
      <c r="Y22" s="187"/>
      <c r="Z22" s="188"/>
      <c r="AA22" s="197"/>
      <c r="AB22" s="197"/>
      <c r="AC22" s="197"/>
      <c r="AD22" s="197"/>
    </row>
    <row r="23" spans="1:30" s="50" customFormat="1" ht="24.75" hidden="1" customHeight="1" x14ac:dyDescent="0.15">
      <c r="A23" s="51">
        <v>20</v>
      </c>
      <c r="B23" s="52" t="s">
        <v>13</v>
      </c>
      <c r="C23" s="183" t="str">
        <f>Experts!F20</f>
        <v xml:space="preserve">  </v>
      </c>
      <c r="D23" s="184"/>
      <c r="E23" s="184"/>
      <c r="F23" s="184"/>
      <c r="G23" s="184"/>
      <c r="H23" s="184"/>
      <c r="I23" s="184"/>
      <c r="J23" s="184"/>
      <c r="K23" s="184"/>
      <c r="L23" s="184"/>
      <c r="M23" s="184"/>
      <c r="N23" s="184"/>
      <c r="O23" s="185"/>
      <c r="P23" s="186"/>
      <c r="Q23" s="187"/>
      <c r="R23" s="187"/>
      <c r="S23" s="187"/>
      <c r="T23" s="187"/>
      <c r="U23" s="188"/>
      <c r="V23" s="186"/>
      <c r="W23" s="187"/>
      <c r="X23" s="187"/>
      <c r="Y23" s="187"/>
      <c r="Z23" s="188"/>
      <c r="AA23" s="197"/>
      <c r="AB23" s="197"/>
      <c r="AC23" s="197"/>
      <c r="AD23" s="197"/>
    </row>
    <row r="24" spans="1:30" s="50" customFormat="1" ht="24.75" hidden="1" customHeight="1" x14ac:dyDescent="0.15">
      <c r="A24" s="51">
        <v>21</v>
      </c>
      <c r="B24" s="52" t="s">
        <v>13</v>
      </c>
      <c r="C24" s="183" t="str">
        <f>Experts!F21</f>
        <v xml:space="preserve">  </v>
      </c>
      <c r="D24" s="184"/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5"/>
      <c r="P24" s="186"/>
      <c r="Q24" s="187"/>
      <c r="R24" s="187"/>
      <c r="S24" s="187"/>
      <c r="T24" s="187"/>
      <c r="U24" s="188"/>
      <c r="V24" s="186"/>
      <c r="W24" s="187"/>
      <c r="X24" s="187"/>
      <c r="Y24" s="187"/>
      <c r="Z24" s="188"/>
      <c r="AA24" s="197"/>
      <c r="AB24" s="197"/>
      <c r="AC24" s="197"/>
      <c r="AD24" s="197"/>
    </row>
    <row r="25" spans="1:30" s="50" customFormat="1" ht="24.75" hidden="1" customHeight="1" x14ac:dyDescent="0.15">
      <c r="A25" s="51">
        <v>22</v>
      </c>
      <c r="B25" s="52" t="s">
        <v>13</v>
      </c>
      <c r="C25" s="183" t="str">
        <f>Experts!F22</f>
        <v xml:space="preserve">  </v>
      </c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5"/>
      <c r="P25" s="186"/>
      <c r="Q25" s="187"/>
      <c r="R25" s="187"/>
      <c r="S25" s="187"/>
      <c r="T25" s="187"/>
      <c r="U25" s="188"/>
      <c r="V25" s="186"/>
      <c r="W25" s="187"/>
      <c r="X25" s="187"/>
      <c r="Y25" s="187"/>
      <c r="Z25" s="188"/>
      <c r="AA25" s="197"/>
      <c r="AB25" s="197"/>
      <c r="AC25" s="197"/>
      <c r="AD25" s="197"/>
    </row>
    <row r="26" spans="1:30" s="50" customFormat="1" ht="24.75" hidden="1" customHeight="1" x14ac:dyDescent="0.15">
      <c r="A26" s="51">
        <v>23</v>
      </c>
      <c r="B26" s="52" t="s">
        <v>13</v>
      </c>
      <c r="C26" s="183" t="str">
        <f>Experts!F23</f>
        <v xml:space="preserve">  </v>
      </c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5"/>
      <c r="P26" s="186"/>
      <c r="Q26" s="187"/>
      <c r="R26" s="187"/>
      <c r="S26" s="187"/>
      <c r="T26" s="187"/>
      <c r="U26" s="188"/>
      <c r="V26" s="186"/>
      <c r="W26" s="187"/>
      <c r="X26" s="187"/>
      <c r="Y26" s="187"/>
      <c r="Z26" s="188"/>
      <c r="AA26" s="197"/>
      <c r="AB26" s="197"/>
      <c r="AC26" s="197"/>
      <c r="AD26" s="197"/>
    </row>
    <row r="27" spans="1:30" s="50" customFormat="1" ht="24.75" hidden="1" customHeight="1" x14ac:dyDescent="0.15">
      <c r="A27" s="51">
        <v>24</v>
      </c>
      <c r="B27" s="52" t="s">
        <v>13</v>
      </c>
      <c r="C27" s="183" t="str">
        <f>Experts!F24</f>
        <v xml:space="preserve">  </v>
      </c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5"/>
      <c r="P27" s="186"/>
      <c r="Q27" s="187"/>
      <c r="R27" s="187"/>
      <c r="S27" s="187"/>
      <c r="T27" s="187"/>
      <c r="U27" s="188"/>
      <c r="V27" s="186"/>
      <c r="W27" s="187"/>
      <c r="X27" s="187"/>
      <c r="Y27" s="187"/>
      <c r="Z27" s="188"/>
      <c r="AA27" s="197"/>
      <c r="AB27" s="197"/>
      <c r="AC27" s="197"/>
      <c r="AD27" s="197"/>
    </row>
    <row r="28" spans="1:30" s="50" customFormat="1" ht="24.75" hidden="1" customHeight="1" x14ac:dyDescent="0.15">
      <c r="A28" s="51">
        <v>25</v>
      </c>
      <c r="B28" s="52" t="s">
        <v>13</v>
      </c>
      <c r="C28" s="183" t="str">
        <f>Experts!F25</f>
        <v xml:space="preserve">  </v>
      </c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5"/>
      <c r="P28" s="186"/>
      <c r="Q28" s="187"/>
      <c r="R28" s="187"/>
      <c r="S28" s="187"/>
      <c r="T28" s="187"/>
      <c r="U28" s="188"/>
      <c r="V28" s="186"/>
      <c r="W28" s="187"/>
      <c r="X28" s="187"/>
      <c r="Y28" s="187"/>
      <c r="Z28" s="188"/>
      <c r="AA28" s="197"/>
      <c r="AB28" s="197"/>
      <c r="AC28" s="197"/>
      <c r="AD28" s="197"/>
    </row>
    <row r="29" spans="1:30" s="50" customFormat="1" ht="9.75" customHeight="1" x14ac:dyDescent="0.15">
      <c r="A29" s="53"/>
      <c r="B29" s="53"/>
      <c r="C29" s="54"/>
      <c r="D29" s="54"/>
      <c r="E29" s="55"/>
      <c r="F29" s="55"/>
      <c r="G29" s="54"/>
      <c r="H29" s="55"/>
      <c r="I29" s="55"/>
      <c r="J29" s="55"/>
      <c r="K29" s="55"/>
      <c r="L29" s="54"/>
      <c r="M29" s="55"/>
      <c r="N29" s="55"/>
      <c r="O29" s="55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</row>
    <row r="30" spans="1:30" s="50" customFormat="1" ht="21" customHeight="1" x14ac:dyDescent="0.15">
      <c r="A30" s="104"/>
      <c r="B30" s="104"/>
      <c r="C30" s="104"/>
      <c r="D30" s="104"/>
      <c r="E30" s="199"/>
      <c r="F30" s="199"/>
      <c r="G30" s="199"/>
      <c r="H30" s="199"/>
      <c r="I30" s="199"/>
      <c r="J30" s="199"/>
      <c r="K30" s="199"/>
      <c r="L30" s="57"/>
      <c r="M30" s="57"/>
      <c r="N30" s="57"/>
      <c r="O30" s="57"/>
      <c r="P30" s="53"/>
      <c r="R30" s="105" t="s">
        <v>7</v>
      </c>
      <c r="S30" s="105"/>
      <c r="T30" s="105"/>
      <c r="U30" s="105"/>
      <c r="V30" s="105"/>
      <c r="W30" s="105"/>
      <c r="X30" s="105"/>
      <c r="Y30" s="106"/>
      <c r="Z30" s="106"/>
      <c r="AA30" s="106"/>
      <c r="AB30" s="106"/>
      <c r="AC30" s="106"/>
      <c r="AD30" s="106"/>
    </row>
    <row r="31" spans="1:30" s="50" customFormat="1" ht="14.25" x14ac:dyDescent="0.15">
      <c r="Y31" s="200" t="s">
        <v>16</v>
      </c>
      <c r="Z31" s="200"/>
      <c r="AA31" s="200"/>
      <c r="AB31" s="200"/>
      <c r="AC31" s="200"/>
      <c r="AD31" s="200"/>
    </row>
  </sheetData>
  <sheetProtection formatCells="0" formatColumns="0" formatRows="0"/>
  <mergeCells count="99">
    <mergeCell ref="C2:AB2"/>
    <mergeCell ref="A3:I3"/>
    <mergeCell ref="A4:I4"/>
    <mergeCell ref="A5:L5"/>
    <mergeCell ref="J3:AF3"/>
    <mergeCell ref="A7:B7"/>
    <mergeCell ref="C7:O7"/>
    <mergeCell ref="C13:O13"/>
    <mergeCell ref="C12:O12"/>
    <mergeCell ref="C10:O10"/>
    <mergeCell ref="C11:O11"/>
    <mergeCell ref="C8:O8"/>
    <mergeCell ref="C9:O9"/>
    <mergeCell ref="P11:U11"/>
    <mergeCell ref="V11:Z11"/>
    <mergeCell ref="AA11:AD11"/>
    <mergeCell ref="P12:U12"/>
    <mergeCell ref="V12:Z12"/>
    <mergeCell ref="AA12:AD12"/>
    <mergeCell ref="P8:U8"/>
    <mergeCell ref="Y31:AD31"/>
    <mergeCell ref="AA7:AD7"/>
    <mergeCell ref="V7:Z7"/>
    <mergeCell ref="P7:U7"/>
    <mergeCell ref="V8:Z8"/>
    <mergeCell ref="P16:U16"/>
    <mergeCell ref="V16:Z16"/>
    <mergeCell ref="AA16:AD16"/>
    <mergeCell ref="V14:Z14"/>
    <mergeCell ref="AA14:AD14"/>
    <mergeCell ref="P19:U19"/>
    <mergeCell ref="V19:Z19"/>
    <mergeCell ref="AA19:AD19"/>
    <mergeCell ref="P20:U20"/>
    <mergeCell ref="V20:Z20"/>
    <mergeCell ref="C28:O28"/>
    <mergeCell ref="A30:D30"/>
    <mergeCell ref="E30:K30"/>
    <mergeCell ref="R30:X30"/>
    <mergeCell ref="Y30:AD30"/>
    <mergeCell ref="C26:O26"/>
    <mergeCell ref="C27:O27"/>
    <mergeCell ref="C24:O24"/>
    <mergeCell ref="C25:O25"/>
    <mergeCell ref="C22:O22"/>
    <mergeCell ref="C23:O23"/>
    <mergeCell ref="C20:O20"/>
    <mergeCell ref="C21:O21"/>
    <mergeCell ref="C18:O18"/>
    <mergeCell ref="C19:O19"/>
    <mergeCell ref="C16:O16"/>
    <mergeCell ref="C17:O17"/>
    <mergeCell ref="C14:O14"/>
    <mergeCell ref="C15:O15"/>
    <mergeCell ref="AA8:AD8"/>
    <mergeCell ref="P9:U9"/>
    <mergeCell ref="V9:Z9"/>
    <mergeCell ref="AA9:AD9"/>
    <mergeCell ref="P10:U10"/>
    <mergeCell ref="V10:Z10"/>
    <mergeCell ref="AA10:AD10"/>
    <mergeCell ref="P15:U15"/>
    <mergeCell ref="V15:Z15"/>
    <mergeCell ref="AA15:AD15"/>
    <mergeCell ref="P13:U13"/>
    <mergeCell ref="V13:Z13"/>
    <mergeCell ref="AA13:AD13"/>
    <mergeCell ref="P14:U14"/>
    <mergeCell ref="AA20:AD20"/>
    <mergeCell ref="P17:U17"/>
    <mergeCell ref="V17:Z17"/>
    <mergeCell ref="AA17:AD17"/>
    <mergeCell ref="P18:U18"/>
    <mergeCell ref="V18:Z18"/>
    <mergeCell ref="AA18:AD18"/>
    <mergeCell ref="P23:U23"/>
    <mergeCell ref="V23:Z23"/>
    <mergeCell ref="AA23:AD23"/>
    <mergeCell ref="P24:U24"/>
    <mergeCell ref="V24:Z24"/>
    <mergeCell ref="AA24:AD24"/>
    <mergeCell ref="P21:U21"/>
    <mergeCell ref="V21:Z21"/>
    <mergeCell ref="AA21:AD21"/>
    <mergeCell ref="P22:U22"/>
    <mergeCell ref="V22:Z22"/>
    <mergeCell ref="AA22:AD22"/>
    <mergeCell ref="P27:U27"/>
    <mergeCell ref="V27:Z27"/>
    <mergeCell ref="AA27:AD27"/>
    <mergeCell ref="P28:U28"/>
    <mergeCell ref="V28:Z28"/>
    <mergeCell ref="AA28:AD28"/>
    <mergeCell ref="P25:U25"/>
    <mergeCell ref="V25:Z25"/>
    <mergeCell ref="AA25:AD25"/>
    <mergeCell ref="P26:U26"/>
    <mergeCell ref="V26:Z26"/>
    <mergeCell ref="AA26:AD26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>
    <oddHeader>&amp;C&amp;G</oddHead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AE35"/>
  <sheetViews>
    <sheetView view="pageBreakPreview" zoomScale="85" zoomScaleNormal="100" zoomScaleSheetLayoutView="85" workbookViewId="0">
      <selection activeCell="AJ4" sqref="AJ4"/>
    </sheetView>
  </sheetViews>
  <sheetFormatPr defaultColWidth="9.14453125" defaultRowHeight="13.5" x14ac:dyDescent="0.15"/>
  <cols>
    <col min="1" max="1" width="4.5703125" style="1" customWidth="1"/>
    <col min="2" max="2" width="1.4765625" style="1" customWidth="1"/>
    <col min="3" max="6" width="3.09375" style="1" customWidth="1"/>
    <col min="7" max="7" width="1.4765625" style="1" customWidth="1"/>
    <col min="8" max="8" width="3.09375" style="1" customWidth="1"/>
    <col min="9" max="9" width="4.5703125" style="1" customWidth="1"/>
    <col min="10" max="11" width="3.09375" style="1" customWidth="1"/>
    <col min="12" max="12" width="2.5546875" style="1" customWidth="1"/>
    <col min="13" max="13" width="2.82421875" style="1" customWidth="1"/>
    <col min="14" max="15" width="3.09375" style="1" customWidth="1"/>
    <col min="16" max="16" width="2.41796875" style="1" customWidth="1"/>
    <col min="17" max="17" width="3.359375" style="1" customWidth="1"/>
    <col min="18" max="18" width="2.41796875" style="1" customWidth="1"/>
    <col min="19" max="19" width="4.3046875" style="1" customWidth="1"/>
    <col min="20" max="20" width="3.09375" style="1" customWidth="1"/>
    <col min="21" max="21" width="1.74609375" style="1" customWidth="1"/>
    <col min="22" max="23" width="2.41796875" style="1" customWidth="1"/>
    <col min="24" max="24" width="4.3046875" style="1" customWidth="1"/>
    <col min="25" max="25" width="2.5546875" style="1" customWidth="1"/>
    <col min="26" max="26" width="4.16796875" style="1" customWidth="1"/>
    <col min="27" max="27" width="4.3046875" style="1" customWidth="1"/>
    <col min="28" max="28" width="4.16796875" style="1" customWidth="1"/>
    <col min="29" max="29" width="4.5703125" style="1" customWidth="1"/>
    <col min="30" max="30" width="3.2265625" style="1" customWidth="1"/>
    <col min="31" max="31" width="2.41796875" style="1" customWidth="1"/>
    <col min="32" max="34" width="3.09375" style="1" customWidth="1"/>
    <col min="35" max="16384" width="9.14453125" style="1"/>
  </cols>
  <sheetData>
    <row r="1" spans="1:31" ht="65.45" customHeight="1" x14ac:dyDescent="0.15"/>
    <row r="2" spans="1:31" ht="38.25" customHeight="1" x14ac:dyDescent="0.2">
      <c r="B2" s="15"/>
      <c r="C2" s="102" t="s">
        <v>90</v>
      </c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5"/>
      <c r="AD2" s="15"/>
      <c r="AE2" s="15"/>
    </row>
    <row r="3" spans="1:31" ht="45.6" customHeight="1" x14ac:dyDescent="0.15">
      <c r="A3" s="96" t="s">
        <v>3</v>
      </c>
      <c r="B3" s="96"/>
      <c r="C3" s="96"/>
      <c r="D3" s="96"/>
      <c r="E3" s="96"/>
      <c r="F3" s="96"/>
      <c r="G3" s="96"/>
      <c r="H3" s="96"/>
      <c r="I3" s="96"/>
      <c r="J3" s="97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6"/>
    </row>
    <row r="4" spans="1:31" ht="23.25" customHeight="1" x14ac:dyDescent="0.15">
      <c r="A4" s="96" t="s">
        <v>6</v>
      </c>
      <c r="B4" s="96"/>
      <c r="C4" s="96"/>
      <c r="D4" s="96"/>
      <c r="E4" s="96"/>
      <c r="F4" s="96"/>
      <c r="G4" s="96"/>
      <c r="H4" s="96"/>
      <c r="I4" s="96"/>
      <c r="J4" s="7" t="str">
        <f>CONCATENATE(Чемп!B4," ",Чемп!C4)</f>
        <v>№ (заполнить) Название (заполнить)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</row>
    <row r="5" spans="1:31" ht="21.75" customHeight="1" x14ac:dyDescent="0.15">
      <c r="A5" s="123" t="s">
        <v>98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7" t="str">
        <f>CONCATENATE(Experts!B1," ",Experts!C1," ",Experts!D1)</f>
        <v>Фамилия Имя Отчество</v>
      </c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</row>
    <row r="6" spans="1:31" ht="11.25" customHeight="1" x14ac:dyDescent="0.15"/>
    <row r="7" spans="1:31" s="50" customFormat="1" ht="31.5" customHeight="1" x14ac:dyDescent="0.15">
      <c r="A7" s="98" t="s">
        <v>9</v>
      </c>
      <c r="B7" s="98"/>
      <c r="C7" s="99" t="s">
        <v>11</v>
      </c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201">
        <f>Чемп!B9</f>
        <v>44434</v>
      </c>
      <c r="Q7" s="202"/>
      <c r="R7" s="202"/>
      <c r="S7" s="202"/>
      <c r="T7" s="202"/>
      <c r="U7" s="203"/>
      <c r="V7" s="204">
        <f>Чемп!B10</f>
        <v>44435</v>
      </c>
      <c r="W7" s="205"/>
      <c r="X7" s="205"/>
      <c r="Y7" s="205"/>
      <c r="Z7" s="206"/>
      <c r="AA7" s="201"/>
      <c r="AB7" s="202"/>
      <c r="AC7" s="202"/>
      <c r="AD7" s="203"/>
    </row>
    <row r="8" spans="1:31" s="50" customFormat="1" ht="24.75" customHeight="1" x14ac:dyDescent="0.15">
      <c r="A8" s="51">
        <v>1</v>
      </c>
      <c r="B8" s="52" t="s">
        <v>13</v>
      </c>
      <c r="C8" s="183" t="str">
        <f>Competitors!F1</f>
        <v>Фамилия Имя Отчество</v>
      </c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5"/>
      <c r="P8" s="186"/>
      <c r="Q8" s="187"/>
      <c r="R8" s="187"/>
      <c r="S8" s="187"/>
      <c r="T8" s="187"/>
      <c r="U8" s="188"/>
      <c r="V8" s="186"/>
      <c r="W8" s="187"/>
      <c r="X8" s="187"/>
      <c r="Y8" s="187"/>
      <c r="Z8" s="188"/>
      <c r="AA8" s="197"/>
      <c r="AB8" s="197"/>
      <c r="AC8" s="197"/>
      <c r="AD8" s="197"/>
    </row>
    <row r="9" spans="1:31" s="50" customFormat="1" ht="24.75" customHeight="1" x14ac:dyDescent="0.15">
      <c r="A9" s="51">
        <v>2</v>
      </c>
      <c r="B9" s="52" t="s">
        <v>13</v>
      </c>
      <c r="C9" s="183" t="str">
        <f>Competitors!F2</f>
        <v>Фамилия Имя Отчество</v>
      </c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5"/>
      <c r="P9" s="186"/>
      <c r="Q9" s="187"/>
      <c r="R9" s="187"/>
      <c r="S9" s="187"/>
      <c r="T9" s="187"/>
      <c r="U9" s="188"/>
      <c r="V9" s="186"/>
      <c r="W9" s="187"/>
      <c r="X9" s="187"/>
      <c r="Y9" s="187"/>
      <c r="Z9" s="188"/>
      <c r="AA9" s="197"/>
      <c r="AB9" s="197"/>
      <c r="AC9" s="197"/>
      <c r="AD9" s="197"/>
    </row>
    <row r="10" spans="1:31" s="50" customFormat="1" ht="24.75" customHeight="1" x14ac:dyDescent="0.15">
      <c r="A10" s="51">
        <v>3</v>
      </c>
      <c r="B10" s="52" t="s">
        <v>13</v>
      </c>
      <c r="C10" s="183" t="str">
        <f>Competitors!F3</f>
        <v>Фамилия Имя Отчество</v>
      </c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5"/>
      <c r="P10" s="186"/>
      <c r="Q10" s="187"/>
      <c r="R10" s="187"/>
      <c r="S10" s="187"/>
      <c r="T10" s="187"/>
      <c r="U10" s="188"/>
      <c r="V10" s="186"/>
      <c r="W10" s="187"/>
      <c r="X10" s="187"/>
      <c r="Y10" s="187"/>
      <c r="Z10" s="188"/>
      <c r="AA10" s="197"/>
      <c r="AB10" s="197"/>
      <c r="AC10" s="197"/>
      <c r="AD10" s="197"/>
    </row>
    <row r="11" spans="1:31" s="50" customFormat="1" ht="24.75" customHeight="1" x14ac:dyDescent="0.15">
      <c r="A11" s="51">
        <v>4</v>
      </c>
      <c r="B11" s="52" t="s">
        <v>13</v>
      </c>
      <c r="C11" s="183" t="str">
        <f>Competitors!F4</f>
        <v>Фамилия Имя Отчество</v>
      </c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5"/>
      <c r="P11" s="186"/>
      <c r="Q11" s="187"/>
      <c r="R11" s="187"/>
      <c r="S11" s="187"/>
      <c r="T11" s="187"/>
      <c r="U11" s="188"/>
      <c r="V11" s="186"/>
      <c r="W11" s="187"/>
      <c r="X11" s="187"/>
      <c r="Y11" s="187"/>
      <c r="Z11" s="188"/>
      <c r="AA11" s="197"/>
      <c r="AB11" s="197"/>
      <c r="AC11" s="197"/>
      <c r="AD11" s="197"/>
    </row>
    <row r="12" spans="1:31" s="50" customFormat="1" ht="24.75" customHeight="1" x14ac:dyDescent="0.15">
      <c r="A12" s="51">
        <v>5</v>
      </c>
      <c r="B12" s="52" t="s">
        <v>13</v>
      </c>
      <c r="C12" s="183" t="str">
        <f>Competitors!F5</f>
        <v>Фамилия Имя Отчество</v>
      </c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5"/>
      <c r="P12" s="186"/>
      <c r="Q12" s="187"/>
      <c r="R12" s="187"/>
      <c r="S12" s="187"/>
      <c r="T12" s="187"/>
      <c r="U12" s="188"/>
      <c r="V12" s="186"/>
      <c r="W12" s="187"/>
      <c r="X12" s="187"/>
      <c r="Y12" s="187"/>
      <c r="Z12" s="188"/>
      <c r="AA12" s="197"/>
      <c r="AB12" s="197"/>
      <c r="AC12" s="197"/>
      <c r="AD12" s="197"/>
    </row>
    <row r="13" spans="1:31" s="50" customFormat="1" ht="24.75" customHeight="1" x14ac:dyDescent="0.15">
      <c r="A13" s="51">
        <v>6</v>
      </c>
      <c r="B13" s="52" t="s">
        <v>13</v>
      </c>
      <c r="C13" s="183" t="str">
        <f>Competitors!F6</f>
        <v>Фамилия Имя Отчество</v>
      </c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P13" s="186"/>
      <c r="Q13" s="187"/>
      <c r="R13" s="187"/>
      <c r="S13" s="187"/>
      <c r="T13" s="187"/>
      <c r="U13" s="188"/>
      <c r="V13" s="186"/>
      <c r="W13" s="187"/>
      <c r="X13" s="187"/>
      <c r="Y13" s="187"/>
      <c r="Z13" s="187"/>
      <c r="AA13" s="186"/>
      <c r="AB13" s="187"/>
      <c r="AC13" s="187"/>
      <c r="AD13" s="187"/>
    </row>
    <row r="14" spans="1:31" s="50" customFormat="1" ht="24.75" customHeight="1" x14ac:dyDescent="0.15">
      <c r="A14" s="51">
        <v>7</v>
      </c>
      <c r="B14" s="52" t="s">
        <v>13</v>
      </c>
      <c r="C14" s="183" t="str">
        <f>Competitors!F7</f>
        <v>Фамилия Имя Отчество</v>
      </c>
      <c r="D14" s="184"/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5"/>
      <c r="P14" s="186"/>
      <c r="Q14" s="187"/>
      <c r="R14" s="187"/>
      <c r="S14" s="187"/>
      <c r="T14" s="187"/>
      <c r="U14" s="188"/>
      <c r="V14" s="186"/>
      <c r="W14" s="187"/>
      <c r="X14" s="187"/>
      <c r="Y14" s="187"/>
      <c r="Z14" s="188"/>
      <c r="AA14" s="197"/>
      <c r="AB14" s="197"/>
      <c r="AC14" s="197"/>
      <c r="AD14" s="197"/>
    </row>
    <row r="15" spans="1:31" s="50" customFormat="1" ht="24.75" customHeight="1" x14ac:dyDescent="0.15">
      <c r="A15" s="51">
        <v>8</v>
      </c>
      <c r="B15" s="52" t="s">
        <v>13</v>
      </c>
      <c r="C15" s="183" t="str">
        <f>Competitors!F8</f>
        <v>Фамилия Имя Отчество</v>
      </c>
      <c r="D15" s="184"/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5"/>
      <c r="P15" s="186"/>
      <c r="Q15" s="187"/>
      <c r="R15" s="187"/>
      <c r="S15" s="187"/>
      <c r="T15" s="187"/>
      <c r="U15" s="188"/>
      <c r="V15" s="186"/>
      <c r="W15" s="187"/>
      <c r="X15" s="187"/>
      <c r="Y15" s="187"/>
      <c r="Z15" s="188"/>
      <c r="AA15" s="197"/>
      <c r="AB15" s="197"/>
      <c r="AC15" s="197"/>
      <c r="AD15" s="197"/>
    </row>
    <row r="16" spans="1:31" s="50" customFormat="1" ht="24.75" customHeight="1" x14ac:dyDescent="0.15">
      <c r="A16" s="51">
        <v>9</v>
      </c>
      <c r="B16" s="52" t="s">
        <v>13</v>
      </c>
      <c r="C16" s="183" t="str">
        <f>Competitors!F9</f>
        <v>Фамилия Имя Отчество</v>
      </c>
      <c r="D16" s="184"/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5"/>
      <c r="P16" s="186"/>
      <c r="Q16" s="187"/>
      <c r="R16" s="187"/>
      <c r="S16" s="187"/>
      <c r="T16" s="187"/>
      <c r="U16" s="188"/>
      <c r="V16" s="186"/>
      <c r="W16" s="187"/>
      <c r="X16" s="187"/>
      <c r="Y16" s="187"/>
      <c r="Z16" s="188"/>
      <c r="AA16" s="197"/>
      <c r="AB16" s="197"/>
      <c r="AC16" s="197"/>
      <c r="AD16" s="197"/>
    </row>
    <row r="17" spans="1:30" s="50" customFormat="1" ht="24.75" customHeight="1" x14ac:dyDescent="0.15">
      <c r="A17" s="51">
        <v>10</v>
      </c>
      <c r="B17" s="52" t="s">
        <v>13</v>
      </c>
      <c r="C17" s="183" t="str">
        <f>Competitors!F10</f>
        <v>Фамилия Имя Отчество</v>
      </c>
      <c r="D17" s="184"/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5"/>
      <c r="P17" s="186"/>
      <c r="Q17" s="187"/>
      <c r="R17" s="187"/>
      <c r="S17" s="187"/>
      <c r="T17" s="187"/>
      <c r="U17" s="188"/>
      <c r="V17" s="186"/>
      <c r="W17" s="187"/>
      <c r="X17" s="187"/>
      <c r="Y17" s="187"/>
      <c r="Z17" s="188"/>
      <c r="AA17" s="197"/>
      <c r="AB17" s="197"/>
      <c r="AC17" s="197"/>
      <c r="AD17" s="197"/>
    </row>
    <row r="18" spans="1:30" s="50" customFormat="1" ht="24.75" customHeight="1" x14ac:dyDescent="0.15">
      <c r="A18" s="51">
        <v>11</v>
      </c>
      <c r="B18" s="52" t="s">
        <v>13</v>
      </c>
      <c r="C18" s="183" t="str">
        <f>Competitors!F11</f>
        <v>Фамилия Имя Отчество</v>
      </c>
      <c r="D18" s="184"/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5"/>
      <c r="P18" s="186"/>
      <c r="Q18" s="187"/>
      <c r="R18" s="187"/>
      <c r="S18" s="187"/>
      <c r="T18" s="187"/>
      <c r="U18" s="188"/>
      <c r="V18" s="186"/>
      <c r="W18" s="187"/>
      <c r="X18" s="187"/>
      <c r="Y18" s="187"/>
      <c r="Z18" s="188"/>
      <c r="AA18" s="197"/>
      <c r="AB18" s="197"/>
      <c r="AC18" s="197"/>
      <c r="AD18" s="197"/>
    </row>
    <row r="19" spans="1:30" s="50" customFormat="1" ht="24.75" customHeight="1" x14ac:dyDescent="0.15">
      <c r="A19" s="51">
        <v>12</v>
      </c>
      <c r="B19" s="52" t="s">
        <v>13</v>
      </c>
      <c r="C19" s="183" t="str">
        <f>Competitors!F12</f>
        <v>Фамилия Имя Отчество</v>
      </c>
      <c r="D19" s="184"/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5"/>
      <c r="P19" s="186"/>
      <c r="Q19" s="187"/>
      <c r="R19" s="187"/>
      <c r="S19" s="187"/>
      <c r="T19" s="187"/>
      <c r="U19" s="188"/>
      <c r="V19" s="186"/>
      <c r="W19" s="187"/>
      <c r="X19" s="187"/>
      <c r="Y19" s="187"/>
      <c r="Z19" s="188"/>
      <c r="AA19" s="197"/>
      <c r="AB19" s="197"/>
      <c r="AC19" s="197"/>
      <c r="AD19" s="197"/>
    </row>
    <row r="20" spans="1:30" s="50" customFormat="1" ht="24.75" customHeight="1" x14ac:dyDescent="0.15">
      <c r="A20" s="51">
        <v>13</v>
      </c>
      <c r="B20" s="52" t="s">
        <v>13</v>
      </c>
      <c r="C20" s="183" t="str">
        <f>Competitors!F13</f>
        <v>Фамилия Имя Отчество</v>
      </c>
      <c r="D20" s="184"/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185"/>
      <c r="P20" s="186"/>
      <c r="Q20" s="187"/>
      <c r="R20" s="187"/>
      <c r="S20" s="187"/>
      <c r="T20" s="187"/>
      <c r="U20" s="188"/>
      <c r="V20" s="186"/>
      <c r="W20" s="187"/>
      <c r="X20" s="187"/>
      <c r="Y20" s="187"/>
      <c r="Z20" s="188"/>
      <c r="AA20" s="197"/>
      <c r="AB20" s="197"/>
      <c r="AC20" s="197"/>
      <c r="AD20" s="197"/>
    </row>
    <row r="21" spans="1:30" s="50" customFormat="1" ht="24.75" customHeight="1" x14ac:dyDescent="0.15">
      <c r="A21" s="51">
        <v>14</v>
      </c>
      <c r="B21" s="52" t="s">
        <v>13</v>
      </c>
      <c r="C21" s="183" t="str">
        <f>Competitors!F14</f>
        <v>Фамилия Имя Отчество</v>
      </c>
      <c r="D21" s="184"/>
      <c r="E21" s="184"/>
      <c r="F21" s="184"/>
      <c r="G21" s="184"/>
      <c r="H21" s="184"/>
      <c r="I21" s="184"/>
      <c r="J21" s="184"/>
      <c r="K21" s="184"/>
      <c r="L21" s="184"/>
      <c r="M21" s="184"/>
      <c r="N21" s="184"/>
      <c r="O21" s="185"/>
      <c r="P21" s="186"/>
      <c r="Q21" s="187"/>
      <c r="R21" s="187"/>
      <c r="S21" s="187"/>
      <c r="T21" s="187"/>
      <c r="U21" s="188"/>
      <c r="V21" s="186"/>
      <c r="W21" s="187"/>
      <c r="X21" s="187"/>
      <c r="Y21" s="187"/>
      <c r="Z21" s="188"/>
      <c r="AA21" s="197"/>
      <c r="AB21" s="197"/>
      <c r="AC21" s="197"/>
      <c r="AD21" s="197"/>
    </row>
    <row r="22" spans="1:30" s="50" customFormat="1" ht="24.75" hidden="1" customHeight="1" x14ac:dyDescent="0.15">
      <c r="A22" s="51">
        <v>15</v>
      </c>
      <c r="B22" s="52" t="s">
        <v>13</v>
      </c>
      <c r="C22" s="183" t="str">
        <f>Competitors!F15</f>
        <v xml:space="preserve">  </v>
      </c>
      <c r="D22" s="184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5"/>
      <c r="P22" s="186"/>
      <c r="Q22" s="187"/>
      <c r="R22" s="187"/>
      <c r="S22" s="187"/>
      <c r="T22" s="187"/>
      <c r="U22" s="188"/>
      <c r="V22" s="186"/>
      <c r="W22" s="187"/>
      <c r="X22" s="187"/>
      <c r="Y22" s="187"/>
      <c r="Z22" s="188"/>
      <c r="AA22" s="197"/>
      <c r="AB22" s="197"/>
      <c r="AC22" s="197"/>
      <c r="AD22" s="197"/>
    </row>
    <row r="23" spans="1:30" s="50" customFormat="1" ht="24.75" hidden="1" customHeight="1" x14ac:dyDescent="0.15">
      <c r="A23" s="51">
        <v>16</v>
      </c>
      <c r="B23" s="52" t="s">
        <v>13</v>
      </c>
      <c r="C23" s="183" t="str">
        <f>Competitors!F16</f>
        <v xml:space="preserve">  </v>
      </c>
      <c r="D23" s="184"/>
      <c r="E23" s="184"/>
      <c r="F23" s="184"/>
      <c r="G23" s="184"/>
      <c r="H23" s="184"/>
      <c r="I23" s="184"/>
      <c r="J23" s="184"/>
      <c r="K23" s="184"/>
      <c r="L23" s="184"/>
      <c r="M23" s="184"/>
      <c r="N23" s="184"/>
      <c r="O23" s="185"/>
      <c r="P23" s="186"/>
      <c r="Q23" s="187"/>
      <c r="R23" s="187"/>
      <c r="S23" s="187"/>
      <c r="T23" s="187"/>
      <c r="U23" s="188"/>
      <c r="V23" s="186"/>
      <c r="W23" s="187"/>
      <c r="X23" s="187"/>
      <c r="Y23" s="187"/>
      <c r="Z23" s="188"/>
      <c r="AA23" s="197"/>
      <c r="AB23" s="197"/>
      <c r="AC23" s="197"/>
      <c r="AD23" s="197"/>
    </row>
    <row r="24" spans="1:30" s="50" customFormat="1" ht="24.75" hidden="1" customHeight="1" x14ac:dyDescent="0.15">
      <c r="A24" s="51">
        <v>17</v>
      </c>
      <c r="B24" s="52" t="s">
        <v>13</v>
      </c>
      <c r="C24" s="183" t="str">
        <f>Competitors!F17</f>
        <v xml:space="preserve">  </v>
      </c>
      <c r="D24" s="184"/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5"/>
      <c r="P24" s="186"/>
      <c r="Q24" s="187"/>
      <c r="R24" s="187"/>
      <c r="S24" s="187"/>
      <c r="T24" s="187"/>
      <c r="U24" s="188"/>
      <c r="V24" s="186"/>
      <c r="W24" s="187"/>
      <c r="X24" s="187"/>
      <c r="Y24" s="187"/>
      <c r="Z24" s="188"/>
      <c r="AA24" s="197"/>
      <c r="AB24" s="197"/>
      <c r="AC24" s="197"/>
      <c r="AD24" s="197"/>
    </row>
    <row r="25" spans="1:30" s="50" customFormat="1" ht="24.75" hidden="1" customHeight="1" x14ac:dyDescent="0.15">
      <c r="A25" s="51">
        <v>18</v>
      </c>
      <c r="B25" s="52" t="s">
        <v>13</v>
      </c>
      <c r="C25" s="183" t="str">
        <f>Competitors!F18</f>
        <v xml:space="preserve">  </v>
      </c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5"/>
      <c r="P25" s="186"/>
      <c r="Q25" s="187"/>
      <c r="R25" s="187"/>
      <c r="S25" s="187"/>
      <c r="T25" s="187"/>
      <c r="U25" s="188"/>
      <c r="V25" s="186"/>
      <c r="W25" s="187"/>
      <c r="X25" s="187"/>
      <c r="Y25" s="187"/>
      <c r="Z25" s="188"/>
      <c r="AA25" s="197"/>
      <c r="AB25" s="197"/>
      <c r="AC25" s="197"/>
      <c r="AD25" s="197"/>
    </row>
    <row r="26" spans="1:30" s="50" customFormat="1" ht="24.75" hidden="1" customHeight="1" x14ac:dyDescent="0.15">
      <c r="A26" s="51">
        <v>19</v>
      </c>
      <c r="B26" s="52" t="s">
        <v>13</v>
      </c>
      <c r="C26" s="183" t="str">
        <f>Competitors!F19</f>
        <v xml:space="preserve">  </v>
      </c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5"/>
      <c r="P26" s="186"/>
      <c r="Q26" s="187"/>
      <c r="R26" s="187"/>
      <c r="S26" s="187"/>
      <c r="T26" s="187"/>
      <c r="U26" s="188"/>
      <c r="V26" s="186"/>
      <c r="W26" s="187"/>
      <c r="X26" s="187"/>
      <c r="Y26" s="187"/>
      <c r="Z26" s="188"/>
      <c r="AA26" s="197"/>
      <c r="AB26" s="197"/>
      <c r="AC26" s="197"/>
      <c r="AD26" s="197"/>
    </row>
    <row r="27" spans="1:30" s="50" customFormat="1" ht="24.75" hidden="1" customHeight="1" x14ac:dyDescent="0.15">
      <c r="A27" s="51">
        <v>20</v>
      </c>
      <c r="B27" s="52" t="s">
        <v>13</v>
      </c>
      <c r="C27" s="183" t="str">
        <f>Competitors!F20</f>
        <v xml:space="preserve">  </v>
      </c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5"/>
      <c r="P27" s="186"/>
      <c r="Q27" s="187"/>
      <c r="R27" s="187"/>
      <c r="S27" s="187"/>
      <c r="T27" s="187"/>
      <c r="U27" s="188"/>
      <c r="V27" s="186"/>
      <c r="W27" s="187"/>
      <c r="X27" s="187"/>
      <c r="Y27" s="187"/>
      <c r="Z27" s="188"/>
      <c r="AA27" s="197"/>
      <c r="AB27" s="197"/>
      <c r="AC27" s="197"/>
      <c r="AD27" s="197"/>
    </row>
    <row r="28" spans="1:30" s="50" customFormat="1" ht="24.75" hidden="1" customHeight="1" x14ac:dyDescent="0.15">
      <c r="A28" s="51">
        <v>21</v>
      </c>
      <c r="B28" s="52" t="s">
        <v>13</v>
      </c>
      <c r="C28" s="183" t="str">
        <f>Competitors!F21</f>
        <v xml:space="preserve">  </v>
      </c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5"/>
      <c r="P28" s="186"/>
      <c r="Q28" s="187"/>
      <c r="R28" s="187"/>
      <c r="S28" s="187"/>
      <c r="T28" s="187"/>
      <c r="U28" s="188"/>
      <c r="V28" s="186"/>
      <c r="W28" s="187"/>
      <c r="X28" s="187"/>
      <c r="Y28" s="187"/>
      <c r="Z28" s="188"/>
      <c r="AA28" s="197"/>
      <c r="AB28" s="197"/>
      <c r="AC28" s="197"/>
      <c r="AD28" s="197"/>
    </row>
    <row r="29" spans="1:30" s="50" customFormat="1" ht="24.75" hidden="1" customHeight="1" x14ac:dyDescent="0.15">
      <c r="A29" s="51">
        <v>22</v>
      </c>
      <c r="B29" s="52" t="s">
        <v>13</v>
      </c>
      <c r="C29" s="183" t="str">
        <f>Competitors!F22</f>
        <v xml:space="preserve">  </v>
      </c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5"/>
      <c r="P29" s="186"/>
      <c r="Q29" s="187"/>
      <c r="R29" s="187"/>
      <c r="S29" s="187"/>
      <c r="T29" s="187"/>
      <c r="U29" s="188"/>
      <c r="V29" s="186"/>
      <c r="W29" s="187"/>
      <c r="X29" s="187"/>
      <c r="Y29" s="187"/>
      <c r="Z29" s="188"/>
      <c r="AA29" s="197"/>
      <c r="AB29" s="197"/>
      <c r="AC29" s="197"/>
      <c r="AD29" s="197"/>
    </row>
    <row r="30" spans="1:30" s="50" customFormat="1" ht="24.75" hidden="1" customHeight="1" x14ac:dyDescent="0.15">
      <c r="A30" s="51">
        <v>23</v>
      </c>
      <c r="B30" s="52" t="s">
        <v>13</v>
      </c>
      <c r="C30" s="183" t="str">
        <f>Competitors!F23</f>
        <v xml:space="preserve">  </v>
      </c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5"/>
      <c r="P30" s="186"/>
      <c r="Q30" s="187"/>
      <c r="R30" s="187"/>
      <c r="S30" s="187"/>
      <c r="T30" s="187"/>
      <c r="U30" s="188"/>
      <c r="V30" s="186"/>
      <c r="W30" s="187"/>
      <c r="X30" s="187"/>
      <c r="Y30" s="187"/>
      <c r="Z30" s="188"/>
      <c r="AA30" s="197"/>
      <c r="AB30" s="197"/>
      <c r="AC30" s="197"/>
      <c r="AD30" s="197"/>
    </row>
    <row r="31" spans="1:30" s="50" customFormat="1" ht="24.75" hidden="1" customHeight="1" x14ac:dyDescent="0.15">
      <c r="A31" s="51">
        <v>24</v>
      </c>
      <c r="B31" s="52" t="s">
        <v>13</v>
      </c>
      <c r="C31" s="183" t="str">
        <f>Competitors!F24</f>
        <v xml:space="preserve">  </v>
      </c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5"/>
      <c r="P31" s="186"/>
      <c r="Q31" s="187"/>
      <c r="R31" s="187"/>
      <c r="S31" s="187"/>
      <c r="T31" s="187"/>
      <c r="U31" s="188"/>
      <c r="V31" s="186"/>
      <c r="W31" s="187"/>
      <c r="X31" s="187"/>
      <c r="Y31" s="187"/>
      <c r="Z31" s="188"/>
      <c r="AA31" s="197"/>
      <c r="AB31" s="197"/>
      <c r="AC31" s="197"/>
      <c r="AD31" s="197"/>
    </row>
    <row r="32" spans="1:30" s="50" customFormat="1" ht="24.75" hidden="1" customHeight="1" x14ac:dyDescent="0.15">
      <c r="A32" s="51">
        <v>25</v>
      </c>
      <c r="B32" s="52" t="s">
        <v>13</v>
      </c>
      <c r="C32" s="183" t="str">
        <f>Competitors!F25</f>
        <v xml:space="preserve">  </v>
      </c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5"/>
      <c r="P32" s="186"/>
      <c r="Q32" s="187"/>
      <c r="R32" s="187"/>
      <c r="S32" s="187"/>
      <c r="T32" s="187"/>
      <c r="U32" s="188"/>
      <c r="V32" s="186"/>
      <c r="W32" s="187"/>
      <c r="X32" s="187"/>
      <c r="Y32" s="187"/>
      <c r="Z32" s="188"/>
      <c r="AA32" s="197"/>
      <c r="AB32" s="197"/>
      <c r="AC32" s="197"/>
      <c r="AD32" s="197"/>
    </row>
    <row r="33" spans="1:30" s="50" customFormat="1" ht="9.75" customHeight="1" x14ac:dyDescent="0.15">
      <c r="A33" s="53"/>
      <c r="B33" s="53"/>
      <c r="C33" s="54"/>
      <c r="D33" s="54"/>
      <c r="E33" s="55"/>
      <c r="F33" s="55"/>
      <c r="G33" s="54"/>
      <c r="H33" s="55"/>
      <c r="I33" s="55"/>
      <c r="J33" s="55"/>
      <c r="K33" s="55"/>
      <c r="L33" s="54"/>
      <c r="M33" s="55"/>
      <c r="N33" s="55"/>
      <c r="O33" s="55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</row>
    <row r="34" spans="1:30" s="50" customFormat="1" ht="21" customHeight="1" x14ac:dyDescent="0.15">
      <c r="A34" s="104"/>
      <c r="B34" s="104"/>
      <c r="C34" s="104"/>
      <c r="D34" s="104"/>
      <c r="E34" s="199"/>
      <c r="F34" s="199"/>
      <c r="G34" s="199"/>
      <c r="H34" s="199"/>
      <c r="I34" s="199"/>
      <c r="J34" s="199"/>
      <c r="K34" s="199"/>
      <c r="L34" s="57"/>
      <c r="M34" s="57"/>
      <c r="N34" s="57"/>
      <c r="O34" s="57"/>
      <c r="P34" s="53"/>
      <c r="R34" s="105" t="s">
        <v>7</v>
      </c>
      <c r="S34" s="105"/>
      <c r="T34" s="105"/>
      <c r="U34" s="105"/>
      <c r="V34" s="105"/>
      <c r="W34" s="105"/>
      <c r="X34" s="105"/>
      <c r="Y34" s="106"/>
      <c r="Z34" s="106"/>
      <c r="AA34" s="106"/>
      <c r="AB34" s="106"/>
      <c r="AC34" s="106"/>
      <c r="AD34" s="106"/>
    </row>
    <row r="35" spans="1:30" s="50" customFormat="1" ht="14.25" x14ac:dyDescent="0.15">
      <c r="Y35" s="101" t="s">
        <v>16</v>
      </c>
      <c r="Z35" s="101"/>
      <c r="AA35" s="101"/>
      <c r="AB35" s="101"/>
      <c r="AC35" s="101"/>
      <c r="AD35" s="101"/>
    </row>
  </sheetData>
  <sheetProtection formatCells="0" formatColumns="0" formatRows="0"/>
  <mergeCells count="115">
    <mergeCell ref="C2:AB2"/>
    <mergeCell ref="A3:I3"/>
    <mergeCell ref="J3:AD3"/>
    <mergeCell ref="A4:I4"/>
    <mergeCell ref="A5:L5"/>
    <mergeCell ref="A7:B7"/>
    <mergeCell ref="C7:O7"/>
    <mergeCell ref="P7:U7"/>
    <mergeCell ref="V7:Z7"/>
    <mergeCell ref="AA7:AD7"/>
    <mergeCell ref="C10:O10"/>
    <mergeCell ref="P10:U10"/>
    <mergeCell ref="V10:Z10"/>
    <mergeCell ref="AA10:AD10"/>
    <mergeCell ref="C11:O11"/>
    <mergeCell ref="P11:U11"/>
    <mergeCell ref="V11:Z11"/>
    <mergeCell ref="AA11:AD11"/>
    <mergeCell ref="C8:O8"/>
    <mergeCell ref="P8:U8"/>
    <mergeCell ref="V8:Z8"/>
    <mergeCell ref="AA8:AD8"/>
    <mergeCell ref="C9:O9"/>
    <mergeCell ref="P9:U9"/>
    <mergeCell ref="V9:Z9"/>
    <mergeCell ref="AA9:AD9"/>
    <mergeCell ref="C14:O14"/>
    <mergeCell ref="P14:U14"/>
    <mergeCell ref="V14:Z14"/>
    <mergeCell ref="AA14:AD14"/>
    <mergeCell ref="C15:O15"/>
    <mergeCell ref="P15:U15"/>
    <mergeCell ref="V15:Z15"/>
    <mergeCell ref="AA15:AD15"/>
    <mergeCell ref="C12:O12"/>
    <mergeCell ref="P12:U12"/>
    <mergeCell ref="V12:Z12"/>
    <mergeCell ref="AA12:AD12"/>
    <mergeCell ref="C13:O13"/>
    <mergeCell ref="P13:U13"/>
    <mergeCell ref="V13:Z13"/>
    <mergeCell ref="AA13:AD13"/>
    <mergeCell ref="C18:O18"/>
    <mergeCell ref="P18:U18"/>
    <mergeCell ref="V18:Z18"/>
    <mergeCell ref="AA18:AD18"/>
    <mergeCell ref="C19:O19"/>
    <mergeCell ref="P19:U19"/>
    <mergeCell ref="V19:Z19"/>
    <mergeCell ref="AA19:AD19"/>
    <mergeCell ref="C16:O16"/>
    <mergeCell ref="P16:U16"/>
    <mergeCell ref="V16:Z16"/>
    <mergeCell ref="AA16:AD16"/>
    <mergeCell ref="C17:O17"/>
    <mergeCell ref="P17:U17"/>
    <mergeCell ref="V17:Z17"/>
    <mergeCell ref="AA17:AD17"/>
    <mergeCell ref="C22:O22"/>
    <mergeCell ref="P22:U22"/>
    <mergeCell ref="V22:Z22"/>
    <mergeCell ref="AA22:AD22"/>
    <mergeCell ref="C23:O23"/>
    <mergeCell ref="P23:U23"/>
    <mergeCell ref="V23:Z23"/>
    <mergeCell ref="AA23:AD23"/>
    <mergeCell ref="C20:O20"/>
    <mergeCell ref="P20:U20"/>
    <mergeCell ref="V20:Z20"/>
    <mergeCell ref="AA20:AD20"/>
    <mergeCell ref="C21:O21"/>
    <mergeCell ref="P21:U21"/>
    <mergeCell ref="V21:Z21"/>
    <mergeCell ref="AA21:AD21"/>
    <mergeCell ref="C26:O26"/>
    <mergeCell ref="P26:U26"/>
    <mergeCell ref="V26:Z26"/>
    <mergeCell ref="AA26:AD26"/>
    <mergeCell ref="C27:O27"/>
    <mergeCell ref="P27:U27"/>
    <mergeCell ref="V27:Z27"/>
    <mergeCell ref="AA27:AD27"/>
    <mergeCell ref="C24:O24"/>
    <mergeCell ref="P24:U24"/>
    <mergeCell ref="V24:Z24"/>
    <mergeCell ref="AA24:AD24"/>
    <mergeCell ref="C25:O25"/>
    <mergeCell ref="P25:U25"/>
    <mergeCell ref="V25:Z25"/>
    <mergeCell ref="AA25:AD25"/>
    <mergeCell ref="C30:O30"/>
    <mergeCell ref="P30:U30"/>
    <mergeCell ref="V30:Z30"/>
    <mergeCell ref="AA30:AD30"/>
    <mergeCell ref="C31:O31"/>
    <mergeCell ref="P31:U31"/>
    <mergeCell ref="V31:Z31"/>
    <mergeCell ref="AA31:AD31"/>
    <mergeCell ref="C28:O28"/>
    <mergeCell ref="P28:U28"/>
    <mergeCell ref="V28:Z28"/>
    <mergeCell ref="AA28:AD28"/>
    <mergeCell ref="C29:O29"/>
    <mergeCell ref="P29:U29"/>
    <mergeCell ref="V29:Z29"/>
    <mergeCell ref="AA29:AD29"/>
    <mergeCell ref="Y35:AD35"/>
    <mergeCell ref="C32:O32"/>
    <mergeCell ref="P32:U32"/>
    <mergeCell ref="V32:Z32"/>
    <mergeCell ref="AA32:AD32"/>
    <mergeCell ref="A34:D34"/>
    <mergeCell ref="E34:K34"/>
    <mergeCell ref="R34:X34"/>
    <mergeCell ref="Y34:AD34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>
    <oddHeader>&amp;C&amp;G</oddHeader>
  </headerFooter>
  <colBreaks count="1" manualBreakCount="1">
    <brk id="30" max="1048575" man="1"/>
  </colBreaks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6"/>
  <dimension ref="A1:AF37"/>
  <sheetViews>
    <sheetView view="pageBreakPreview" zoomScale="80" zoomScaleNormal="100" zoomScaleSheetLayoutView="80" workbookViewId="0">
      <selection activeCell="S36" sqref="S36:Y36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26" width="2.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1:32" ht="28.35" customHeight="1" x14ac:dyDescent="0.15"/>
    <row r="2" spans="1:32" ht="18" x14ac:dyDescent="0.2">
      <c r="B2" s="189" t="s">
        <v>91</v>
      </c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</row>
    <row r="3" spans="1:32" ht="20.25" customHeight="1" x14ac:dyDescent="0.15">
      <c r="B3" s="190" t="s">
        <v>56</v>
      </c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0"/>
    </row>
    <row r="4" spans="1:32" ht="45.6" customHeight="1" x14ac:dyDescent="0.15">
      <c r="B4" s="96" t="s">
        <v>3</v>
      </c>
      <c r="C4" s="96"/>
      <c r="D4" s="96"/>
      <c r="E4" s="96"/>
      <c r="F4" s="96"/>
      <c r="G4" s="96"/>
      <c r="H4" s="96"/>
      <c r="I4" s="96"/>
      <c r="J4" s="96"/>
      <c r="K4" s="97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6"/>
    </row>
    <row r="5" spans="1:32" ht="24.75" customHeight="1" x14ac:dyDescent="0.15">
      <c r="B5" s="96" t="s">
        <v>6</v>
      </c>
      <c r="C5" s="96"/>
      <c r="D5" s="96"/>
      <c r="E5" s="96"/>
      <c r="F5" s="96"/>
      <c r="G5" s="96"/>
      <c r="H5" s="96"/>
      <c r="I5" s="96"/>
      <c r="J5" s="96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21.75" customHeight="1" x14ac:dyDescent="0.15">
      <c r="B6" s="123" t="s">
        <v>106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30" customHeight="1" x14ac:dyDescent="0.3">
      <c r="A7" s="22"/>
      <c r="B7" s="3"/>
      <c r="C7" s="191" t="s">
        <v>71</v>
      </c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8"/>
      <c r="AF7" s="8"/>
    </row>
    <row r="8" spans="1:32" ht="12" customHeight="1" x14ac:dyDescent="0.15"/>
    <row r="9" spans="1:32" ht="60.75" customHeight="1" x14ac:dyDescent="0.15">
      <c r="B9" s="192" t="s">
        <v>9</v>
      </c>
      <c r="C9" s="192"/>
      <c r="D9" s="193" t="s">
        <v>59</v>
      </c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193"/>
      <c r="Q9" s="194" t="s">
        <v>10</v>
      </c>
      <c r="R9" s="194"/>
      <c r="S9" s="194"/>
      <c r="T9" s="194"/>
      <c r="U9" s="194"/>
      <c r="V9" s="194"/>
      <c r="W9" s="194"/>
      <c r="X9" s="194"/>
      <c r="Y9" s="194"/>
      <c r="Z9" s="194"/>
      <c r="AA9" s="193" t="s">
        <v>12</v>
      </c>
      <c r="AB9" s="193"/>
      <c r="AC9" s="193"/>
      <c r="AD9" s="193"/>
      <c r="AE9" s="193"/>
    </row>
    <row r="10" spans="1:32" s="50" customFormat="1" ht="18.75" customHeight="1" x14ac:dyDescent="0.15">
      <c r="B10" s="51">
        <v>1</v>
      </c>
      <c r="C10" s="52" t="s">
        <v>13</v>
      </c>
      <c r="D10" s="183" t="str">
        <f>Competitors!F1</f>
        <v>Фамилия Имя Отчество</v>
      </c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5"/>
      <c r="Q10" s="186"/>
      <c r="R10" s="187"/>
      <c r="S10" s="187"/>
      <c r="T10" s="187"/>
      <c r="U10" s="187"/>
      <c r="V10" s="187"/>
      <c r="W10" s="187"/>
      <c r="X10" s="187"/>
      <c r="Y10" s="187"/>
      <c r="Z10" s="188"/>
      <c r="AA10" s="186"/>
      <c r="AB10" s="187"/>
      <c r="AC10" s="187"/>
      <c r="AD10" s="187"/>
      <c r="AE10" s="188"/>
    </row>
    <row r="11" spans="1:32" s="50" customFormat="1" ht="18.75" customHeight="1" x14ac:dyDescent="0.15">
      <c r="B11" s="51">
        <v>2</v>
      </c>
      <c r="C11" s="52" t="s">
        <v>13</v>
      </c>
      <c r="D11" s="183" t="str">
        <f>Competitors!F2</f>
        <v>Фамилия Имя Отчество</v>
      </c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5"/>
      <c r="Q11" s="186"/>
      <c r="R11" s="187"/>
      <c r="S11" s="187"/>
      <c r="T11" s="187"/>
      <c r="U11" s="187"/>
      <c r="V11" s="187"/>
      <c r="W11" s="187"/>
      <c r="X11" s="187"/>
      <c r="Y11" s="187"/>
      <c r="Z11" s="188"/>
      <c r="AA11" s="186"/>
      <c r="AB11" s="187"/>
      <c r="AC11" s="187"/>
      <c r="AD11" s="187"/>
      <c r="AE11" s="188"/>
    </row>
    <row r="12" spans="1:32" s="50" customFormat="1" ht="18.75" customHeight="1" x14ac:dyDescent="0.15">
      <c r="B12" s="51">
        <v>3</v>
      </c>
      <c r="C12" s="52" t="s">
        <v>13</v>
      </c>
      <c r="D12" s="183" t="str">
        <f>Competitors!F3</f>
        <v>Фамилия Имя Отчество</v>
      </c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5"/>
      <c r="Q12" s="186"/>
      <c r="R12" s="187"/>
      <c r="S12" s="187"/>
      <c r="T12" s="187"/>
      <c r="U12" s="187"/>
      <c r="V12" s="187"/>
      <c r="W12" s="187"/>
      <c r="X12" s="187"/>
      <c r="Y12" s="187"/>
      <c r="Z12" s="188"/>
      <c r="AA12" s="186"/>
      <c r="AB12" s="187"/>
      <c r="AC12" s="187"/>
      <c r="AD12" s="187"/>
      <c r="AE12" s="188"/>
    </row>
    <row r="13" spans="1:32" s="50" customFormat="1" ht="18.75" customHeight="1" x14ac:dyDescent="0.15">
      <c r="B13" s="51">
        <v>4</v>
      </c>
      <c r="C13" s="52" t="s">
        <v>13</v>
      </c>
      <c r="D13" s="183" t="str">
        <f>Competitors!F4</f>
        <v>Фамилия Имя Отчество</v>
      </c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5"/>
      <c r="Q13" s="186"/>
      <c r="R13" s="187"/>
      <c r="S13" s="187"/>
      <c r="T13" s="187"/>
      <c r="U13" s="187"/>
      <c r="V13" s="187"/>
      <c r="W13" s="187"/>
      <c r="X13" s="187"/>
      <c r="Y13" s="187"/>
      <c r="Z13" s="188"/>
      <c r="AA13" s="186"/>
      <c r="AB13" s="187"/>
      <c r="AC13" s="187"/>
      <c r="AD13" s="187"/>
      <c r="AE13" s="188"/>
    </row>
    <row r="14" spans="1:32" s="50" customFormat="1" ht="18.75" customHeight="1" x14ac:dyDescent="0.15">
      <c r="B14" s="51">
        <v>5</v>
      </c>
      <c r="C14" s="52" t="s">
        <v>13</v>
      </c>
      <c r="D14" s="183" t="str">
        <f>Competitors!F5</f>
        <v>Фамилия Имя Отчество</v>
      </c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5"/>
      <c r="Q14" s="186"/>
      <c r="R14" s="187"/>
      <c r="S14" s="187"/>
      <c r="T14" s="187"/>
      <c r="U14" s="187"/>
      <c r="V14" s="187"/>
      <c r="W14" s="187"/>
      <c r="X14" s="187"/>
      <c r="Y14" s="187"/>
      <c r="Z14" s="188"/>
      <c r="AA14" s="186"/>
      <c r="AB14" s="187"/>
      <c r="AC14" s="187"/>
      <c r="AD14" s="187"/>
      <c r="AE14" s="188"/>
    </row>
    <row r="15" spans="1:32" s="50" customFormat="1" ht="18.75" customHeight="1" x14ac:dyDescent="0.15">
      <c r="B15" s="51">
        <v>6</v>
      </c>
      <c r="C15" s="52" t="s">
        <v>13</v>
      </c>
      <c r="D15" s="183" t="str">
        <f>Competitors!F6</f>
        <v>Фамилия Имя Отчество</v>
      </c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5"/>
      <c r="Q15" s="186"/>
      <c r="R15" s="187"/>
      <c r="S15" s="187"/>
      <c r="T15" s="187"/>
      <c r="U15" s="187"/>
      <c r="V15" s="187"/>
      <c r="W15" s="187"/>
      <c r="X15" s="187"/>
      <c r="Y15" s="187"/>
      <c r="Z15" s="188"/>
      <c r="AA15" s="186"/>
      <c r="AB15" s="187"/>
      <c r="AC15" s="187"/>
      <c r="AD15" s="187"/>
      <c r="AE15" s="187"/>
    </row>
    <row r="16" spans="1:32" s="50" customFormat="1" ht="18.75" customHeight="1" x14ac:dyDescent="0.15">
      <c r="B16" s="51">
        <v>7</v>
      </c>
      <c r="C16" s="52" t="s">
        <v>13</v>
      </c>
      <c r="D16" s="183" t="str">
        <f>Competitors!F7</f>
        <v>Фамилия Имя Отчество</v>
      </c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4"/>
      <c r="P16" s="185"/>
      <c r="Q16" s="186"/>
      <c r="R16" s="187"/>
      <c r="S16" s="187"/>
      <c r="T16" s="187"/>
      <c r="U16" s="187"/>
      <c r="V16" s="187"/>
      <c r="W16" s="187"/>
      <c r="X16" s="187"/>
      <c r="Y16" s="187"/>
      <c r="Z16" s="188"/>
      <c r="AA16" s="186"/>
      <c r="AB16" s="187"/>
      <c r="AC16" s="187"/>
      <c r="AD16" s="187"/>
      <c r="AE16" s="188"/>
    </row>
    <row r="17" spans="2:31" s="50" customFormat="1" ht="18.75" customHeight="1" x14ac:dyDescent="0.15">
      <c r="B17" s="51">
        <v>8</v>
      </c>
      <c r="C17" s="52" t="s">
        <v>13</v>
      </c>
      <c r="D17" s="183" t="str">
        <f>Competitors!F8</f>
        <v>Фамилия Имя Отчество</v>
      </c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5"/>
      <c r="Q17" s="186"/>
      <c r="R17" s="187"/>
      <c r="S17" s="187"/>
      <c r="T17" s="187"/>
      <c r="U17" s="187"/>
      <c r="V17" s="187"/>
      <c r="W17" s="187"/>
      <c r="X17" s="187"/>
      <c r="Y17" s="187"/>
      <c r="Z17" s="188"/>
      <c r="AA17" s="186"/>
      <c r="AB17" s="187"/>
      <c r="AC17" s="187"/>
      <c r="AD17" s="187"/>
      <c r="AE17" s="188"/>
    </row>
    <row r="18" spans="2:31" s="50" customFormat="1" ht="18.75" customHeight="1" x14ac:dyDescent="0.15">
      <c r="B18" s="51">
        <v>9</v>
      </c>
      <c r="C18" s="52" t="s">
        <v>13</v>
      </c>
      <c r="D18" s="183" t="str">
        <f>Competitors!F9</f>
        <v>Фамилия Имя Отчество</v>
      </c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5"/>
      <c r="Q18" s="186"/>
      <c r="R18" s="187"/>
      <c r="S18" s="187"/>
      <c r="T18" s="187"/>
      <c r="U18" s="187"/>
      <c r="V18" s="187"/>
      <c r="W18" s="187"/>
      <c r="X18" s="187"/>
      <c r="Y18" s="187"/>
      <c r="Z18" s="188"/>
      <c r="AA18" s="186"/>
      <c r="AB18" s="187"/>
      <c r="AC18" s="187"/>
      <c r="AD18" s="187"/>
      <c r="AE18" s="188"/>
    </row>
    <row r="19" spans="2:31" s="50" customFormat="1" ht="18.75" customHeight="1" x14ac:dyDescent="0.15">
      <c r="B19" s="51">
        <v>10</v>
      </c>
      <c r="C19" s="52" t="s">
        <v>13</v>
      </c>
      <c r="D19" s="183" t="str">
        <f>Competitors!F10</f>
        <v>Фамилия Имя Отчество</v>
      </c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4"/>
      <c r="P19" s="185"/>
      <c r="Q19" s="186"/>
      <c r="R19" s="187"/>
      <c r="S19" s="187"/>
      <c r="T19" s="187"/>
      <c r="U19" s="187"/>
      <c r="V19" s="187"/>
      <c r="W19" s="187"/>
      <c r="X19" s="187"/>
      <c r="Y19" s="187"/>
      <c r="Z19" s="188"/>
      <c r="AA19" s="186"/>
      <c r="AB19" s="187"/>
      <c r="AC19" s="187"/>
      <c r="AD19" s="187"/>
      <c r="AE19" s="188"/>
    </row>
    <row r="20" spans="2:31" s="50" customFormat="1" ht="18.75" customHeight="1" x14ac:dyDescent="0.15">
      <c r="B20" s="51">
        <v>11</v>
      </c>
      <c r="C20" s="52" t="s">
        <v>13</v>
      </c>
      <c r="D20" s="183" t="str">
        <f>Competitors!F11</f>
        <v>Фамилия Имя Отчество</v>
      </c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184"/>
      <c r="P20" s="185"/>
      <c r="Q20" s="186"/>
      <c r="R20" s="187"/>
      <c r="S20" s="187"/>
      <c r="T20" s="187"/>
      <c r="U20" s="187"/>
      <c r="V20" s="187"/>
      <c r="W20" s="187"/>
      <c r="X20" s="187"/>
      <c r="Y20" s="187"/>
      <c r="Z20" s="188"/>
      <c r="AA20" s="186"/>
      <c r="AB20" s="187"/>
      <c r="AC20" s="187"/>
      <c r="AD20" s="187"/>
      <c r="AE20" s="188"/>
    </row>
    <row r="21" spans="2:31" s="50" customFormat="1" ht="18.75" customHeight="1" x14ac:dyDescent="0.15">
      <c r="B21" s="51">
        <v>12</v>
      </c>
      <c r="C21" s="52" t="s">
        <v>13</v>
      </c>
      <c r="D21" s="183" t="str">
        <f>Competitors!F12</f>
        <v>Фамилия Имя Отчество</v>
      </c>
      <c r="E21" s="184"/>
      <c r="F21" s="184"/>
      <c r="G21" s="184"/>
      <c r="H21" s="184"/>
      <c r="I21" s="184"/>
      <c r="J21" s="184"/>
      <c r="K21" s="184"/>
      <c r="L21" s="184"/>
      <c r="M21" s="184"/>
      <c r="N21" s="184"/>
      <c r="O21" s="184"/>
      <c r="P21" s="185"/>
      <c r="Q21" s="186"/>
      <c r="R21" s="187"/>
      <c r="S21" s="187"/>
      <c r="T21" s="187"/>
      <c r="U21" s="187"/>
      <c r="V21" s="187"/>
      <c r="W21" s="187"/>
      <c r="X21" s="187"/>
      <c r="Y21" s="187"/>
      <c r="Z21" s="188"/>
      <c r="AA21" s="186"/>
      <c r="AB21" s="187"/>
      <c r="AC21" s="187"/>
      <c r="AD21" s="187"/>
      <c r="AE21" s="188"/>
    </row>
    <row r="22" spans="2:31" s="50" customFormat="1" ht="18.75" customHeight="1" x14ac:dyDescent="0.15">
      <c r="B22" s="51">
        <v>13</v>
      </c>
      <c r="C22" s="52" t="s">
        <v>13</v>
      </c>
      <c r="D22" s="183" t="str">
        <f>Competitors!F13</f>
        <v>Фамилия Имя Отчество</v>
      </c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5"/>
      <c r="Q22" s="186"/>
      <c r="R22" s="187"/>
      <c r="S22" s="187"/>
      <c r="T22" s="187"/>
      <c r="U22" s="187"/>
      <c r="V22" s="187"/>
      <c r="W22" s="187"/>
      <c r="X22" s="187"/>
      <c r="Y22" s="187"/>
      <c r="Z22" s="188"/>
      <c r="AA22" s="186"/>
      <c r="AB22" s="187"/>
      <c r="AC22" s="187"/>
      <c r="AD22" s="187"/>
      <c r="AE22" s="188"/>
    </row>
    <row r="23" spans="2:31" s="50" customFormat="1" ht="18.75" customHeight="1" x14ac:dyDescent="0.15">
      <c r="B23" s="51">
        <v>14</v>
      </c>
      <c r="C23" s="52" t="s">
        <v>13</v>
      </c>
      <c r="D23" s="183" t="str">
        <f>Competitors!F14</f>
        <v>Фамилия Имя Отчество</v>
      </c>
      <c r="E23" s="184"/>
      <c r="F23" s="184"/>
      <c r="G23" s="184"/>
      <c r="H23" s="184"/>
      <c r="I23" s="184"/>
      <c r="J23" s="184"/>
      <c r="K23" s="184"/>
      <c r="L23" s="184"/>
      <c r="M23" s="184"/>
      <c r="N23" s="184"/>
      <c r="O23" s="184"/>
      <c r="P23" s="185"/>
      <c r="Q23" s="186"/>
      <c r="R23" s="187"/>
      <c r="S23" s="187"/>
      <c r="T23" s="187"/>
      <c r="U23" s="187"/>
      <c r="V23" s="187"/>
      <c r="W23" s="187"/>
      <c r="X23" s="187"/>
      <c r="Y23" s="187"/>
      <c r="Z23" s="188"/>
      <c r="AA23" s="186"/>
      <c r="AB23" s="187"/>
      <c r="AC23" s="187"/>
      <c r="AD23" s="187"/>
      <c r="AE23" s="188"/>
    </row>
    <row r="24" spans="2:31" s="50" customFormat="1" ht="18.75" customHeight="1" x14ac:dyDescent="0.15">
      <c r="B24" s="51">
        <v>17</v>
      </c>
      <c r="C24" s="52" t="s">
        <v>13</v>
      </c>
      <c r="D24" s="183" t="str">
        <f>Competitors!F15</f>
        <v xml:space="preserve">  </v>
      </c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4"/>
      <c r="P24" s="185"/>
      <c r="Q24" s="186"/>
      <c r="R24" s="187"/>
      <c r="S24" s="187"/>
      <c r="T24" s="187"/>
      <c r="U24" s="187"/>
      <c r="V24" s="187"/>
      <c r="W24" s="187"/>
      <c r="X24" s="187"/>
      <c r="Y24" s="187"/>
      <c r="Z24" s="188"/>
      <c r="AA24" s="186"/>
      <c r="AB24" s="187"/>
      <c r="AC24" s="187"/>
      <c r="AD24" s="187"/>
      <c r="AE24" s="188"/>
    </row>
    <row r="25" spans="2:31" s="50" customFormat="1" ht="18.75" customHeight="1" x14ac:dyDescent="0.15">
      <c r="B25" s="51">
        <v>18</v>
      </c>
      <c r="C25" s="52" t="s">
        <v>13</v>
      </c>
      <c r="D25" s="183" t="str">
        <f>Competitors!F16</f>
        <v xml:space="preserve">  </v>
      </c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5"/>
      <c r="Q25" s="186"/>
      <c r="R25" s="187"/>
      <c r="S25" s="187"/>
      <c r="T25" s="187"/>
      <c r="U25" s="187"/>
      <c r="V25" s="187"/>
      <c r="W25" s="187"/>
      <c r="X25" s="187"/>
      <c r="Y25" s="187"/>
      <c r="Z25" s="188"/>
      <c r="AA25" s="186"/>
      <c r="AB25" s="187"/>
      <c r="AC25" s="187"/>
      <c r="AD25" s="187"/>
      <c r="AE25" s="188"/>
    </row>
    <row r="26" spans="2:31" s="50" customFormat="1" ht="18.75" customHeight="1" x14ac:dyDescent="0.15">
      <c r="B26" s="51">
        <v>19</v>
      </c>
      <c r="C26" s="52" t="s">
        <v>13</v>
      </c>
      <c r="D26" s="183" t="str">
        <f>Competitors!F17</f>
        <v xml:space="preserve">  </v>
      </c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5"/>
      <c r="Q26" s="186"/>
      <c r="R26" s="187"/>
      <c r="S26" s="187"/>
      <c r="T26" s="187"/>
      <c r="U26" s="187"/>
      <c r="V26" s="187"/>
      <c r="W26" s="187"/>
      <c r="X26" s="187"/>
      <c r="Y26" s="187"/>
      <c r="Z26" s="188"/>
      <c r="AA26" s="186"/>
      <c r="AB26" s="187"/>
      <c r="AC26" s="187"/>
      <c r="AD26" s="187"/>
      <c r="AE26" s="188"/>
    </row>
    <row r="27" spans="2:31" s="50" customFormat="1" ht="18.75" customHeight="1" x14ac:dyDescent="0.15">
      <c r="B27" s="51">
        <v>20</v>
      </c>
      <c r="C27" s="52" t="s">
        <v>13</v>
      </c>
      <c r="D27" s="183" t="str">
        <f>Competitors!F18</f>
        <v xml:space="preserve">  </v>
      </c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5"/>
      <c r="Q27" s="186"/>
      <c r="R27" s="187"/>
      <c r="S27" s="187"/>
      <c r="T27" s="187"/>
      <c r="U27" s="187"/>
      <c r="V27" s="187"/>
      <c r="W27" s="187"/>
      <c r="X27" s="187"/>
      <c r="Y27" s="187"/>
      <c r="Z27" s="188"/>
      <c r="AA27" s="186"/>
      <c r="AB27" s="187"/>
      <c r="AC27" s="187"/>
      <c r="AD27" s="187"/>
      <c r="AE27" s="188"/>
    </row>
    <row r="28" spans="2:31" s="50" customFormat="1" ht="18.75" customHeight="1" x14ac:dyDescent="0.15">
      <c r="B28" s="51">
        <v>21</v>
      </c>
      <c r="C28" s="52" t="s">
        <v>13</v>
      </c>
      <c r="D28" s="183" t="str">
        <f>Competitors!F19</f>
        <v xml:space="preserve">  </v>
      </c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5"/>
      <c r="Q28" s="186"/>
      <c r="R28" s="187"/>
      <c r="S28" s="187"/>
      <c r="T28" s="187"/>
      <c r="U28" s="187"/>
      <c r="V28" s="187"/>
      <c r="W28" s="187"/>
      <c r="X28" s="187"/>
      <c r="Y28" s="187"/>
      <c r="Z28" s="188"/>
      <c r="AA28" s="186"/>
      <c r="AB28" s="187"/>
      <c r="AC28" s="187"/>
      <c r="AD28" s="187"/>
      <c r="AE28" s="188"/>
    </row>
    <row r="29" spans="2:31" s="50" customFormat="1" ht="18.75" customHeight="1" x14ac:dyDescent="0.15">
      <c r="B29" s="51">
        <v>22</v>
      </c>
      <c r="C29" s="52" t="s">
        <v>13</v>
      </c>
      <c r="D29" s="183" t="str">
        <f>Competitors!F20</f>
        <v xml:space="preserve">  </v>
      </c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5"/>
      <c r="Q29" s="186"/>
      <c r="R29" s="187"/>
      <c r="S29" s="187"/>
      <c r="T29" s="187"/>
      <c r="U29" s="187"/>
      <c r="V29" s="187"/>
      <c r="W29" s="187"/>
      <c r="X29" s="187"/>
      <c r="Y29" s="187"/>
      <c r="Z29" s="188"/>
      <c r="AA29" s="186"/>
      <c r="AB29" s="187"/>
      <c r="AC29" s="187"/>
      <c r="AD29" s="187"/>
      <c r="AE29" s="188"/>
    </row>
    <row r="30" spans="2:31" s="50" customFormat="1" ht="18.75" customHeight="1" x14ac:dyDescent="0.15">
      <c r="B30" s="51">
        <v>23</v>
      </c>
      <c r="C30" s="52" t="s">
        <v>13</v>
      </c>
      <c r="D30" s="183" t="str">
        <f>Competitors!F21</f>
        <v xml:space="preserve">  </v>
      </c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5"/>
      <c r="Q30" s="186"/>
      <c r="R30" s="187"/>
      <c r="S30" s="187"/>
      <c r="T30" s="187"/>
      <c r="U30" s="187"/>
      <c r="V30" s="187"/>
      <c r="W30" s="187"/>
      <c r="X30" s="187"/>
      <c r="Y30" s="187"/>
      <c r="Z30" s="188"/>
      <c r="AA30" s="186"/>
      <c r="AB30" s="187"/>
      <c r="AC30" s="187"/>
      <c r="AD30" s="187"/>
      <c r="AE30" s="188"/>
    </row>
    <row r="31" spans="2:31" s="50" customFormat="1" ht="18.75" customHeight="1" x14ac:dyDescent="0.15">
      <c r="B31" s="51">
        <v>24</v>
      </c>
      <c r="C31" s="52" t="s">
        <v>13</v>
      </c>
      <c r="D31" s="183" t="str">
        <f>Competitors!F22</f>
        <v xml:space="preserve">  </v>
      </c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5"/>
      <c r="Q31" s="186"/>
      <c r="R31" s="187"/>
      <c r="S31" s="187"/>
      <c r="T31" s="187"/>
      <c r="U31" s="187"/>
      <c r="V31" s="187"/>
      <c r="W31" s="187"/>
      <c r="X31" s="187"/>
      <c r="Y31" s="187"/>
      <c r="Z31" s="188"/>
      <c r="AA31" s="186"/>
      <c r="AB31" s="187"/>
      <c r="AC31" s="187"/>
      <c r="AD31" s="187"/>
      <c r="AE31" s="188"/>
    </row>
    <row r="32" spans="2:31" s="50" customFormat="1" ht="18.75" customHeight="1" x14ac:dyDescent="0.15">
      <c r="B32" s="51">
        <v>25</v>
      </c>
      <c r="C32" s="52" t="s">
        <v>13</v>
      </c>
      <c r="D32" s="183" t="str">
        <f>Competitors!F23</f>
        <v xml:space="preserve">  </v>
      </c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5"/>
      <c r="Q32" s="186"/>
      <c r="R32" s="187"/>
      <c r="S32" s="187"/>
      <c r="T32" s="187"/>
      <c r="U32" s="187"/>
      <c r="V32" s="187"/>
      <c r="W32" s="187"/>
      <c r="X32" s="187"/>
      <c r="Y32" s="187"/>
      <c r="Z32" s="188"/>
      <c r="AA32" s="186"/>
      <c r="AB32" s="187"/>
      <c r="AC32" s="187"/>
      <c r="AD32" s="187"/>
      <c r="AE32" s="188"/>
    </row>
    <row r="33" spans="2:31" s="50" customFormat="1" ht="18.75" customHeight="1" x14ac:dyDescent="0.15">
      <c r="B33" s="51">
        <v>26</v>
      </c>
      <c r="C33" s="52" t="s">
        <v>13</v>
      </c>
      <c r="D33" s="183" t="str">
        <f>Competitors!F24</f>
        <v xml:space="preserve">  </v>
      </c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5"/>
      <c r="Q33" s="186"/>
      <c r="R33" s="187"/>
      <c r="S33" s="187"/>
      <c r="T33" s="187"/>
      <c r="U33" s="187"/>
      <c r="V33" s="187"/>
      <c r="W33" s="187"/>
      <c r="X33" s="187"/>
      <c r="Y33" s="187"/>
      <c r="Z33" s="188"/>
      <c r="AA33" s="186"/>
      <c r="AB33" s="187"/>
      <c r="AC33" s="187"/>
      <c r="AD33" s="187"/>
      <c r="AE33" s="188"/>
    </row>
    <row r="34" spans="2:31" s="50" customFormat="1" ht="18.75" customHeight="1" x14ac:dyDescent="0.15">
      <c r="B34" s="51">
        <v>27</v>
      </c>
      <c r="C34" s="52" t="s">
        <v>13</v>
      </c>
      <c r="D34" s="196" t="str">
        <f>Competitors!F25</f>
        <v xml:space="preserve">  </v>
      </c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7"/>
      <c r="R34" s="197"/>
      <c r="S34" s="197"/>
      <c r="T34" s="197"/>
      <c r="U34" s="197"/>
      <c r="V34" s="197"/>
      <c r="W34" s="197"/>
      <c r="X34" s="197"/>
      <c r="Y34" s="197"/>
      <c r="Z34" s="197"/>
      <c r="AA34" s="197"/>
      <c r="AB34" s="197"/>
      <c r="AC34" s="197"/>
      <c r="AD34" s="197"/>
      <c r="AE34" s="197"/>
    </row>
    <row r="35" spans="2:31" s="50" customFormat="1" ht="18" customHeight="1" x14ac:dyDescent="0.15">
      <c r="B35" s="53"/>
      <c r="C35" s="53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</row>
    <row r="36" spans="2:31" s="50" customFormat="1" ht="14.25" x14ac:dyDescent="0.15">
      <c r="B36" s="104" t="s">
        <v>14</v>
      </c>
      <c r="C36" s="104"/>
      <c r="D36" s="104"/>
      <c r="E36" s="104"/>
      <c r="F36" s="198">
        <f>Чемп!B8</f>
        <v>44433</v>
      </c>
      <c r="G36" s="198"/>
      <c r="H36" s="198"/>
      <c r="I36" s="198"/>
      <c r="J36" s="198"/>
      <c r="K36" s="198"/>
      <c r="L36" s="57"/>
      <c r="M36" s="57"/>
      <c r="N36" s="57"/>
      <c r="O36" s="57"/>
      <c r="P36" s="57"/>
      <c r="Q36" s="53"/>
      <c r="S36" s="105" t="s">
        <v>107</v>
      </c>
      <c r="T36" s="105"/>
      <c r="U36" s="105"/>
      <c r="V36" s="105"/>
      <c r="W36" s="105"/>
      <c r="X36" s="105"/>
      <c r="Y36" s="105"/>
      <c r="Z36" s="106"/>
      <c r="AA36" s="106"/>
      <c r="AB36" s="106"/>
      <c r="AC36" s="106"/>
      <c r="AD36" s="106"/>
      <c r="AE36" s="106"/>
    </row>
    <row r="37" spans="2:31" x14ac:dyDescent="0.15">
      <c r="Z37" s="195" t="s">
        <v>16</v>
      </c>
      <c r="AA37" s="195"/>
      <c r="AB37" s="195"/>
      <c r="AC37" s="195"/>
      <c r="AD37" s="195"/>
      <c r="AE37" s="195"/>
    </row>
  </sheetData>
  <sheetProtection formatCells="0" formatColumns="0" formatRows="0"/>
  <mergeCells count="91">
    <mergeCell ref="B36:E36"/>
    <mergeCell ref="F36:K36"/>
    <mergeCell ref="S36:Y36"/>
    <mergeCell ref="Q29:Z29"/>
    <mergeCell ref="D25:P25"/>
    <mergeCell ref="Q25:Z25"/>
    <mergeCell ref="Z36:AE36"/>
    <mergeCell ref="D30:P30"/>
    <mergeCell ref="Q30:Z30"/>
    <mergeCell ref="AA30:AE30"/>
    <mergeCell ref="D27:P27"/>
    <mergeCell ref="Q27:Z27"/>
    <mergeCell ref="AA27:AE27"/>
    <mergeCell ref="D28:P28"/>
    <mergeCell ref="Q28:Z28"/>
    <mergeCell ref="AA28:AE28"/>
    <mergeCell ref="Z37:AE37"/>
    <mergeCell ref="C7:AD7"/>
    <mergeCell ref="D33:P33"/>
    <mergeCell ref="Q33:Z33"/>
    <mergeCell ref="AA33:AE33"/>
    <mergeCell ref="D34:P34"/>
    <mergeCell ref="Q34:Z34"/>
    <mergeCell ref="AA34:AE34"/>
    <mergeCell ref="D31:P31"/>
    <mergeCell ref="Q31:Z31"/>
    <mergeCell ref="AA31:AE31"/>
    <mergeCell ref="D32:P32"/>
    <mergeCell ref="Q32:Z32"/>
    <mergeCell ref="AA32:AE32"/>
    <mergeCell ref="D29:P29"/>
    <mergeCell ref="AA29:AE29"/>
    <mergeCell ref="AA25:AE25"/>
    <mergeCell ref="D26:P26"/>
    <mergeCell ref="Q26:Z26"/>
    <mergeCell ref="AA26:AE26"/>
    <mergeCell ref="D23:P23"/>
    <mergeCell ref="Q23:Z23"/>
    <mergeCell ref="AA23:AE23"/>
    <mergeCell ref="D24:P24"/>
    <mergeCell ref="Q24:Z24"/>
    <mergeCell ref="AA24:AE24"/>
    <mergeCell ref="AA21:AE21"/>
    <mergeCell ref="D22:P22"/>
    <mergeCell ref="Q22:Z22"/>
    <mergeCell ref="AA22:AE22"/>
    <mergeCell ref="D19:P19"/>
    <mergeCell ref="Q19:Z19"/>
    <mergeCell ref="AA19:AE19"/>
    <mergeCell ref="D20:P20"/>
    <mergeCell ref="Q20:Z20"/>
    <mergeCell ref="AA20:AE20"/>
    <mergeCell ref="D21:P21"/>
    <mergeCell ref="Q21:Z21"/>
    <mergeCell ref="D14:P14"/>
    <mergeCell ref="Q14:Z14"/>
    <mergeCell ref="AA14:AE14"/>
    <mergeCell ref="AA17:AE17"/>
    <mergeCell ref="D18:P18"/>
    <mergeCell ref="Q18:Z18"/>
    <mergeCell ref="AA18:AE18"/>
    <mergeCell ref="D16:P16"/>
    <mergeCell ref="Q16:Z16"/>
    <mergeCell ref="AA16:AE16"/>
    <mergeCell ref="D15:P15"/>
    <mergeCell ref="D17:P17"/>
    <mergeCell ref="Q17:Z17"/>
    <mergeCell ref="Q15:Z15"/>
    <mergeCell ref="AA15:AE15"/>
    <mergeCell ref="AA11:AE11"/>
    <mergeCell ref="D12:P12"/>
    <mergeCell ref="Q12:Z12"/>
    <mergeCell ref="AA12:AE12"/>
    <mergeCell ref="D13:P13"/>
    <mergeCell ref="Q13:Z13"/>
    <mergeCell ref="AA13:AE13"/>
    <mergeCell ref="D11:P11"/>
    <mergeCell ref="Q11:Z11"/>
    <mergeCell ref="B6:M6"/>
    <mergeCell ref="B2:AF2"/>
    <mergeCell ref="B3:AE3"/>
    <mergeCell ref="B4:J4"/>
    <mergeCell ref="K4:AE4"/>
    <mergeCell ref="B5:J5"/>
    <mergeCell ref="B9:C9"/>
    <mergeCell ref="D9:P9"/>
    <mergeCell ref="Q9:Z9"/>
    <mergeCell ref="AA9:AE9"/>
    <mergeCell ref="D10:P10"/>
    <mergeCell ref="Q10:Z10"/>
    <mergeCell ref="AA10:AE10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7"/>
  <dimension ref="A1:AF37"/>
  <sheetViews>
    <sheetView view="pageBreakPreview" zoomScale="80" zoomScaleNormal="100" zoomScaleSheetLayoutView="80" workbookViewId="0">
      <selection activeCell="S36" sqref="S36:Y36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19" width="2.41796875" style="1" customWidth="1"/>
    <col min="20" max="21" width="3.09375" style="1" customWidth="1"/>
    <col min="22" max="26" width="2.4179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1:32" ht="28.35" customHeight="1" x14ac:dyDescent="0.15"/>
    <row r="2" spans="1:32" ht="18" x14ac:dyDescent="0.2">
      <c r="B2" s="189" t="s">
        <v>91</v>
      </c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</row>
    <row r="3" spans="1:32" ht="20.25" customHeight="1" x14ac:dyDescent="0.15">
      <c r="B3" s="190" t="s">
        <v>57</v>
      </c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0"/>
    </row>
    <row r="4" spans="1:32" ht="45.6" customHeight="1" x14ac:dyDescent="0.15">
      <c r="B4" s="96" t="s">
        <v>3</v>
      </c>
      <c r="C4" s="96"/>
      <c r="D4" s="96"/>
      <c r="E4" s="96"/>
      <c r="F4" s="96"/>
      <c r="G4" s="96"/>
      <c r="H4" s="96"/>
      <c r="I4" s="96"/>
      <c r="J4" s="96"/>
      <c r="K4" s="97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6"/>
    </row>
    <row r="5" spans="1:32" ht="24.75" customHeight="1" x14ac:dyDescent="0.15">
      <c r="B5" s="96" t="s">
        <v>6</v>
      </c>
      <c r="C5" s="96"/>
      <c r="D5" s="96"/>
      <c r="E5" s="96"/>
      <c r="F5" s="96"/>
      <c r="G5" s="96"/>
      <c r="H5" s="96"/>
      <c r="I5" s="96"/>
      <c r="J5" s="96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21.75" customHeight="1" x14ac:dyDescent="0.15">
      <c r="B6" s="123" t="s">
        <v>106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46.5" customHeight="1" x14ac:dyDescent="0.3">
      <c r="A7" s="22"/>
      <c r="B7" s="3"/>
      <c r="C7" s="208" t="s">
        <v>72</v>
      </c>
      <c r="D7" s="208"/>
      <c r="E7" s="208"/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  <c r="V7" s="208"/>
      <c r="W7" s="208"/>
      <c r="X7" s="208"/>
      <c r="Y7" s="208"/>
      <c r="Z7" s="208"/>
      <c r="AA7" s="208"/>
      <c r="AB7" s="208"/>
      <c r="AC7" s="208"/>
      <c r="AD7" s="208"/>
      <c r="AE7" s="8"/>
      <c r="AF7" s="8"/>
    </row>
    <row r="8" spans="1:32" ht="12" customHeight="1" x14ac:dyDescent="0.15"/>
    <row r="9" spans="1:32" ht="60.75" customHeight="1" x14ac:dyDescent="0.15">
      <c r="B9" s="192" t="s">
        <v>9</v>
      </c>
      <c r="C9" s="192"/>
      <c r="D9" s="193" t="s">
        <v>59</v>
      </c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193"/>
      <c r="Q9" s="194" t="s">
        <v>10</v>
      </c>
      <c r="R9" s="194"/>
      <c r="S9" s="194"/>
      <c r="T9" s="194"/>
      <c r="U9" s="194"/>
      <c r="V9" s="194"/>
      <c r="W9" s="194"/>
      <c r="X9" s="194"/>
      <c r="Y9" s="194"/>
      <c r="Z9" s="194"/>
      <c r="AA9" s="193" t="s">
        <v>12</v>
      </c>
      <c r="AB9" s="193"/>
      <c r="AC9" s="193"/>
      <c r="AD9" s="193"/>
      <c r="AE9" s="193"/>
    </row>
    <row r="10" spans="1:32" s="50" customFormat="1" ht="18.75" customHeight="1" x14ac:dyDescent="0.15">
      <c r="B10" s="51">
        <v>1</v>
      </c>
      <c r="C10" s="52" t="s">
        <v>13</v>
      </c>
      <c r="D10" s="183" t="str">
        <f>Competitors!F1</f>
        <v>Фамилия Имя Отчество</v>
      </c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5"/>
      <c r="Q10" s="186"/>
      <c r="R10" s="187"/>
      <c r="S10" s="187"/>
      <c r="T10" s="187"/>
      <c r="U10" s="187"/>
      <c r="V10" s="187"/>
      <c r="W10" s="187"/>
      <c r="X10" s="187"/>
      <c r="Y10" s="187"/>
      <c r="Z10" s="188"/>
      <c r="AA10" s="186"/>
      <c r="AB10" s="187"/>
      <c r="AC10" s="187"/>
      <c r="AD10" s="187"/>
      <c r="AE10" s="188"/>
    </row>
    <row r="11" spans="1:32" s="50" customFormat="1" ht="18.75" customHeight="1" x14ac:dyDescent="0.15">
      <c r="B11" s="51">
        <v>2</v>
      </c>
      <c r="C11" s="52" t="s">
        <v>13</v>
      </c>
      <c r="D11" s="183" t="str">
        <f>Competitors!F2</f>
        <v>Фамилия Имя Отчество</v>
      </c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5"/>
      <c r="Q11" s="186"/>
      <c r="R11" s="187"/>
      <c r="S11" s="187"/>
      <c r="T11" s="187"/>
      <c r="U11" s="187"/>
      <c r="V11" s="187"/>
      <c r="W11" s="187"/>
      <c r="X11" s="187"/>
      <c r="Y11" s="187"/>
      <c r="Z11" s="188"/>
      <c r="AA11" s="186"/>
      <c r="AB11" s="187"/>
      <c r="AC11" s="187"/>
      <c r="AD11" s="187"/>
      <c r="AE11" s="188"/>
    </row>
    <row r="12" spans="1:32" s="50" customFormat="1" ht="18.75" customHeight="1" x14ac:dyDescent="0.15">
      <c r="B12" s="51">
        <v>3</v>
      </c>
      <c r="C12" s="52" t="s">
        <v>13</v>
      </c>
      <c r="D12" s="183" t="str">
        <f>Competitors!F3</f>
        <v>Фамилия Имя Отчество</v>
      </c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5"/>
      <c r="Q12" s="186"/>
      <c r="R12" s="187"/>
      <c r="S12" s="187"/>
      <c r="T12" s="187"/>
      <c r="U12" s="187"/>
      <c r="V12" s="187"/>
      <c r="W12" s="187"/>
      <c r="X12" s="187"/>
      <c r="Y12" s="187"/>
      <c r="Z12" s="188"/>
      <c r="AA12" s="186"/>
      <c r="AB12" s="187"/>
      <c r="AC12" s="187"/>
      <c r="AD12" s="187"/>
      <c r="AE12" s="188"/>
    </row>
    <row r="13" spans="1:32" s="50" customFormat="1" ht="18.75" customHeight="1" x14ac:dyDescent="0.15">
      <c r="B13" s="51">
        <v>4</v>
      </c>
      <c r="C13" s="52" t="s">
        <v>13</v>
      </c>
      <c r="D13" s="183" t="str">
        <f>Competitors!F4</f>
        <v>Фамилия Имя Отчество</v>
      </c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5"/>
      <c r="Q13" s="186"/>
      <c r="R13" s="187"/>
      <c r="S13" s="187"/>
      <c r="T13" s="187"/>
      <c r="U13" s="187"/>
      <c r="V13" s="187"/>
      <c r="W13" s="187"/>
      <c r="X13" s="187"/>
      <c r="Y13" s="187"/>
      <c r="Z13" s="188"/>
      <c r="AA13" s="186"/>
      <c r="AB13" s="187"/>
      <c r="AC13" s="187"/>
      <c r="AD13" s="187"/>
      <c r="AE13" s="188"/>
    </row>
    <row r="14" spans="1:32" s="50" customFormat="1" ht="18.75" customHeight="1" x14ac:dyDescent="0.15">
      <c r="B14" s="51">
        <v>5</v>
      </c>
      <c r="C14" s="52" t="s">
        <v>13</v>
      </c>
      <c r="D14" s="183" t="str">
        <f>Competitors!F5</f>
        <v>Фамилия Имя Отчество</v>
      </c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5"/>
      <c r="Q14" s="186"/>
      <c r="R14" s="187"/>
      <c r="S14" s="187"/>
      <c r="T14" s="187"/>
      <c r="U14" s="187"/>
      <c r="V14" s="187"/>
      <c r="W14" s="187"/>
      <c r="X14" s="187"/>
      <c r="Y14" s="187"/>
      <c r="Z14" s="188"/>
      <c r="AA14" s="186"/>
      <c r="AB14" s="187"/>
      <c r="AC14" s="187"/>
      <c r="AD14" s="187"/>
      <c r="AE14" s="188"/>
    </row>
    <row r="15" spans="1:32" s="50" customFormat="1" ht="18.75" customHeight="1" x14ac:dyDescent="0.15">
      <c r="B15" s="51">
        <v>6</v>
      </c>
      <c r="C15" s="52" t="s">
        <v>13</v>
      </c>
      <c r="D15" s="183" t="str">
        <f>Competitors!F6</f>
        <v>Фамилия Имя Отчество</v>
      </c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5"/>
      <c r="Q15" s="186"/>
      <c r="R15" s="187"/>
      <c r="S15" s="187"/>
      <c r="T15" s="187"/>
      <c r="U15" s="187"/>
      <c r="V15" s="187"/>
      <c r="W15" s="187"/>
      <c r="X15" s="187"/>
      <c r="Y15" s="187"/>
      <c r="Z15" s="188"/>
      <c r="AA15" s="186"/>
      <c r="AB15" s="187"/>
      <c r="AC15" s="187"/>
      <c r="AD15" s="187"/>
      <c r="AE15" s="188"/>
    </row>
    <row r="16" spans="1:32" s="50" customFormat="1" ht="18.75" customHeight="1" x14ac:dyDescent="0.15">
      <c r="B16" s="51">
        <v>7</v>
      </c>
      <c r="C16" s="52" t="s">
        <v>13</v>
      </c>
      <c r="D16" s="183" t="str">
        <f>Competitors!F7</f>
        <v>Фамилия Имя Отчество</v>
      </c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4"/>
      <c r="P16" s="185"/>
      <c r="Q16" s="186"/>
      <c r="R16" s="187"/>
      <c r="S16" s="187"/>
      <c r="T16" s="187"/>
      <c r="U16" s="187"/>
      <c r="V16" s="187"/>
      <c r="W16" s="187"/>
      <c r="X16" s="187"/>
      <c r="Y16" s="187"/>
      <c r="Z16" s="188"/>
      <c r="AA16" s="186"/>
      <c r="AB16" s="187"/>
      <c r="AC16" s="187"/>
      <c r="AD16" s="187"/>
      <c r="AE16" s="188"/>
    </row>
    <row r="17" spans="2:31" s="50" customFormat="1" ht="18.75" customHeight="1" x14ac:dyDescent="0.15">
      <c r="B17" s="51">
        <v>8</v>
      </c>
      <c r="C17" s="52" t="s">
        <v>13</v>
      </c>
      <c r="D17" s="183" t="str">
        <f>Competitors!F8</f>
        <v>Фамилия Имя Отчество</v>
      </c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5"/>
      <c r="Q17" s="186"/>
      <c r="R17" s="187"/>
      <c r="S17" s="187"/>
      <c r="T17" s="187"/>
      <c r="U17" s="187"/>
      <c r="V17" s="187"/>
      <c r="W17" s="187"/>
      <c r="X17" s="187"/>
      <c r="Y17" s="187"/>
      <c r="Z17" s="188"/>
      <c r="AA17" s="186"/>
      <c r="AB17" s="187"/>
      <c r="AC17" s="187"/>
      <c r="AD17" s="187"/>
      <c r="AE17" s="188"/>
    </row>
    <row r="18" spans="2:31" s="50" customFormat="1" ht="18.75" customHeight="1" x14ac:dyDescent="0.15">
      <c r="B18" s="51">
        <v>9</v>
      </c>
      <c r="C18" s="52" t="s">
        <v>13</v>
      </c>
      <c r="D18" s="183" t="str">
        <f>Competitors!F9</f>
        <v>Фамилия Имя Отчество</v>
      </c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5"/>
      <c r="Q18" s="186"/>
      <c r="R18" s="187"/>
      <c r="S18" s="187"/>
      <c r="T18" s="187"/>
      <c r="U18" s="187"/>
      <c r="V18" s="187"/>
      <c r="W18" s="187"/>
      <c r="X18" s="187"/>
      <c r="Y18" s="187"/>
      <c r="Z18" s="188"/>
      <c r="AA18" s="186"/>
      <c r="AB18" s="187"/>
      <c r="AC18" s="187"/>
      <c r="AD18" s="187"/>
      <c r="AE18" s="188"/>
    </row>
    <row r="19" spans="2:31" s="50" customFormat="1" ht="18.75" customHeight="1" x14ac:dyDescent="0.15">
      <c r="B19" s="51">
        <v>10</v>
      </c>
      <c r="C19" s="52" t="s">
        <v>13</v>
      </c>
      <c r="D19" s="183" t="str">
        <f>Competitors!F10</f>
        <v>Фамилия Имя Отчество</v>
      </c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4"/>
      <c r="P19" s="185"/>
      <c r="Q19" s="186"/>
      <c r="R19" s="187"/>
      <c r="S19" s="187"/>
      <c r="T19" s="187"/>
      <c r="U19" s="187"/>
      <c r="V19" s="187"/>
      <c r="W19" s="187"/>
      <c r="X19" s="187"/>
      <c r="Y19" s="187"/>
      <c r="Z19" s="188"/>
      <c r="AA19" s="186"/>
      <c r="AB19" s="187"/>
      <c r="AC19" s="187"/>
      <c r="AD19" s="187"/>
      <c r="AE19" s="188"/>
    </row>
    <row r="20" spans="2:31" s="50" customFormat="1" ht="18.75" customHeight="1" x14ac:dyDescent="0.15">
      <c r="B20" s="51">
        <v>11</v>
      </c>
      <c r="C20" s="52" t="s">
        <v>13</v>
      </c>
      <c r="D20" s="183" t="str">
        <f>Competitors!F11</f>
        <v>Фамилия Имя Отчество</v>
      </c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184"/>
      <c r="P20" s="185"/>
      <c r="Q20" s="186"/>
      <c r="R20" s="187"/>
      <c r="S20" s="187"/>
      <c r="T20" s="187"/>
      <c r="U20" s="187"/>
      <c r="V20" s="187"/>
      <c r="W20" s="187"/>
      <c r="X20" s="187"/>
      <c r="Y20" s="187"/>
      <c r="Z20" s="188"/>
      <c r="AA20" s="186"/>
      <c r="AB20" s="187"/>
      <c r="AC20" s="187"/>
      <c r="AD20" s="187"/>
      <c r="AE20" s="188"/>
    </row>
    <row r="21" spans="2:31" s="50" customFormat="1" ht="18.75" customHeight="1" x14ac:dyDescent="0.15">
      <c r="B21" s="51">
        <v>12</v>
      </c>
      <c r="C21" s="52" t="s">
        <v>13</v>
      </c>
      <c r="D21" s="183" t="str">
        <f>Competitors!F12</f>
        <v>Фамилия Имя Отчество</v>
      </c>
      <c r="E21" s="184"/>
      <c r="F21" s="184"/>
      <c r="G21" s="184"/>
      <c r="H21" s="184"/>
      <c r="I21" s="184"/>
      <c r="J21" s="184"/>
      <c r="K21" s="184"/>
      <c r="L21" s="184"/>
      <c r="M21" s="184"/>
      <c r="N21" s="184"/>
      <c r="O21" s="184"/>
      <c r="P21" s="185"/>
      <c r="Q21" s="186"/>
      <c r="R21" s="187"/>
      <c r="S21" s="187"/>
      <c r="T21" s="187"/>
      <c r="U21" s="187"/>
      <c r="V21" s="187"/>
      <c r="W21" s="187"/>
      <c r="X21" s="187"/>
      <c r="Y21" s="187"/>
      <c r="Z21" s="188"/>
      <c r="AA21" s="186"/>
      <c r="AB21" s="187"/>
      <c r="AC21" s="187"/>
      <c r="AD21" s="187"/>
      <c r="AE21" s="188"/>
    </row>
    <row r="22" spans="2:31" s="50" customFormat="1" ht="18.75" customHeight="1" x14ac:dyDescent="0.15">
      <c r="B22" s="51">
        <v>13</v>
      </c>
      <c r="C22" s="52" t="s">
        <v>13</v>
      </c>
      <c r="D22" s="183" t="str">
        <f>Competitors!F13</f>
        <v>Фамилия Имя Отчество</v>
      </c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5"/>
      <c r="Q22" s="186"/>
      <c r="R22" s="187"/>
      <c r="S22" s="187"/>
      <c r="T22" s="187"/>
      <c r="U22" s="187"/>
      <c r="V22" s="187"/>
      <c r="W22" s="187"/>
      <c r="X22" s="187"/>
      <c r="Y22" s="187"/>
      <c r="Z22" s="188"/>
      <c r="AA22" s="186"/>
      <c r="AB22" s="187"/>
      <c r="AC22" s="187"/>
      <c r="AD22" s="187"/>
      <c r="AE22" s="188"/>
    </row>
    <row r="23" spans="2:31" s="50" customFormat="1" ht="18.75" customHeight="1" x14ac:dyDescent="0.15">
      <c r="B23" s="51">
        <v>14</v>
      </c>
      <c r="C23" s="52" t="s">
        <v>13</v>
      </c>
      <c r="D23" s="183" t="str">
        <f>Competitors!F14</f>
        <v>Фамилия Имя Отчество</v>
      </c>
      <c r="E23" s="184"/>
      <c r="F23" s="184"/>
      <c r="G23" s="184"/>
      <c r="H23" s="184"/>
      <c r="I23" s="184"/>
      <c r="J23" s="184"/>
      <c r="K23" s="184"/>
      <c r="L23" s="184"/>
      <c r="M23" s="184"/>
      <c r="N23" s="184"/>
      <c r="O23" s="184"/>
      <c r="P23" s="185"/>
      <c r="Q23" s="186"/>
      <c r="R23" s="187"/>
      <c r="S23" s="187"/>
      <c r="T23" s="187"/>
      <c r="U23" s="187"/>
      <c r="V23" s="187"/>
      <c r="W23" s="187"/>
      <c r="X23" s="187"/>
      <c r="Y23" s="187"/>
      <c r="Z23" s="188"/>
      <c r="AA23" s="186"/>
      <c r="AB23" s="187"/>
      <c r="AC23" s="187"/>
      <c r="AD23" s="187"/>
      <c r="AE23" s="188"/>
    </row>
    <row r="24" spans="2:31" s="50" customFormat="1" ht="18.75" customHeight="1" x14ac:dyDescent="0.15">
      <c r="B24" s="51">
        <v>15</v>
      </c>
      <c r="C24" s="52" t="s">
        <v>13</v>
      </c>
      <c r="D24" s="183" t="str">
        <f>Competitors!F15</f>
        <v xml:space="preserve">  </v>
      </c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4"/>
      <c r="P24" s="185"/>
      <c r="Q24" s="186"/>
      <c r="R24" s="187"/>
      <c r="S24" s="187"/>
      <c r="T24" s="187"/>
      <c r="U24" s="187"/>
      <c r="V24" s="187"/>
      <c r="W24" s="187"/>
      <c r="X24" s="187"/>
      <c r="Y24" s="187"/>
      <c r="Z24" s="188"/>
      <c r="AA24" s="186"/>
      <c r="AB24" s="187"/>
      <c r="AC24" s="187"/>
      <c r="AD24" s="187"/>
      <c r="AE24" s="188"/>
    </row>
    <row r="25" spans="2:31" s="50" customFormat="1" ht="18.75" customHeight="1" x14ac:dyDescent="0.15">
      <c r="B25" s="51">
        <v>16</v>
      </c>
      <c r="C25" s="52" t="s">
        <v>13</v>
      </c>
      <c r="D25" s="183" t="str">
        <f>Competitors!F16</f>
        <v xml:space="preserve">  </v>
      </c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5"/>
      <c r="Q25" s="186"/>
      <c r="R25" s="187"/>
      <c r="S25" s="187"/>
      <c r="T25" s="187"/>
      <c r="U25" s="187"/>
      <c r="V25" s="187"/>
      <c r="W25" s="187"/>
      <c r="X25" s="187"/>
      <c r="Y25" s="187"/>
      <c r="Z25" s="188"/>
      <c r="AA25" s="186"/>
      <c r="AB25" s="187"/>
      <c r="AC25" s="187"/>
      <c r="AD25" s="187"/>
      <c r="AE25" s="188"/>
    </row>
    <row r="26" spans="2:31" s="50" customFormat="1" ht="18.75" customHeight="1" x14ac:dyDescent="0.15">
      <c r="B26" s="51">
        <v>17</v>
      </c>
      <c r="C26" s="52" t="s">
        <v>13</v>
      </c>
      <c r="D26" s="183" t="str">
        <f>Competitors!F17</f>
        <v xml:space="preserve">  </v>
      </c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5"/>
      <c r="Q26" s="186"/>
      <c r="R26" s="187"/>
      <c r="S26" s="187"/>
      <c r="T26" s="187"/>
      <c r="U26" s="187"/>
      <c r="V26" s="187"/>
      <c r="W26" s="187"/>
      <c r="X26" s="187"/>
      <c r="Y26" s="187"/>
      <c r="Z26" s="188"/>
      <c r="AA26" s="186"/>
      <c r="AB26" s="187"/>
      <c r="AC26" s="187"/>
      <c r="AD26" s="187"/>
      <c r="AE26" s="188"/>
    </row>
    <row r="27" spans="2:31" s="50" customFormat="1" ht="18.75" customHeight="1" x14ac:dyDescent="0.15">
      <c r="B27" s="51">
        <v>18</v>
      </c>
      <c r="C27" s="52" t="s">
        <v>13</v>
      </c>
      <c r="D27" s="183" t="str">
        <f>Competitors!F18</f>
        <v xml:space="preserve">  </v>
      </c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5"/>
      <c r="Q27" s="186"/>
      <c r="R27" s="187"/>
      <c r="S27" s="187"/>
      <c r="T27" s="187"/>
      <c r="U27" s="187"/>
      <c r="V27" s="187"/>
      <c r="W27" s="187"/>
      <c r="X27" s="187"/>
      <c r="Y27" s="187"/>
      <c r="Z27" s="188"/>
      <c r="AA27" s="186"/>
      <c r="AB27" s="187"/>
      <c r="AC27" s="187"/>
      <c r="AD27" s="187"/>
      <c r="AE27" s="188"/>
    </row>
    <row r="28" spans="2:31" s="50" customFormat="1" ht="18.75" customHeight="1" x14ac:dyDescent="0.15">
      <c r="B28" s="51">
        <v>19</v>
      </c>
      <c r="C28" s="52" t="s">
        <v>13</v>
      </c>
      <c r="D28" s="183" t="str">
        <f>Competitors!F19</f>
        <v xml:space="preserve">  </v>
      </c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5"/>
      <c r="Q28" s="186"/>
      <c r="R28" s="187"/>
      <c r="S28" s="187"/>
      <c r="T28" s="187"/>
      <c r="U28" s="187"/>
      <c r="V28" s="187"/>
      <c r="W28" s="187"/>
      <c r="X28" s="187"/>
      <c r="Y28" s="187"/>
      <c r="Z28" s="188"/>
      <c r="AA28" s="186"/>
      <c r="AB28" s="187"/>
      <c r="AC28" s="187"/>
      <c r="AD28" s="187"/>
      <c r="AE28" s="188"/>
    </row>
    <row r="29" spans="2:31" s="50" customFormat="1" ht="18.75" customHeight="1" x14ac:dyDescent="0.15">
      <c r="B29" s="51">
        <v>20</v>
      </c>
      <c r="C29" s="52" t="s">
        <v>13</v>
      </c>
      <c r="D29" s="183" t="str">
        <f>Competitors!F20</f>
        <v xml:space="preserve">  </v>
      </c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5"/>
      <c r="Q29" s="186"/>
      <c r="R29" s="187"/>
      <c r="S29" s="187"/>
      <c r="T29" s="187"/>
      <c r="U29" s="187"/>
      <c r="V29" s="187"/>
      <c r="W29" s="187"/>
      <c r="X29" s="187"/>
      <c r="Y29" s="187"/>
      <c r="Z29" s="188"/>
      <c r="AA29" s="186"/>
      <c r="AB29" s="187"/>
      <c r="AC29" s="187"/>
      <c r="AD29" s="187"/>
      <c r="AE29" s="188"/>
    </row>
    <row r="30" spans="2:31" s="50" customFormat="1" ht="18.75" customHeight="1" x14ac:dyDescent="0.15">
      <c r="B30" s="51">
        <v>21</v>
      </c>
      <c r="C30" s="52" t="s">
        <v>13</v>
      </c>
      <c r="D30" s="183" t="str">
        <f>Competitors!F21</f>
        <v xml:space="preserve">  </v>
      </c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5"/>
      <c r="Q30" s="186"/>
      <c r="R30" s="187"/>
      <c r="S30" s="187"/>
      <c r="T30" s="187"/>
      <c r="U30" s="187"/>
      <c r="V30" s="187"/>
      <c r="W30" s="187"/>
      <c r="X30" s="187"/>
      <c r="Y30" s="187"/>
      <c r="Z30" s="188"/>
      <c r="AA30" s="186"/>
      <c r="AB30" s="187"/>
      <c r="AC30" s="187"/>
      <c r="AD30" s="187"/>
      <c r="AE30" s="188"/>
    </row>
    <row r="31" spans="2:31" s="50" customFormat="1" ht="18.75" customHeight="1" x14ac:dyDescent="0.15">
      <c r="B31" s="51">
        <v>22</v>
      </c>
      <c r="C31" s="52" t="s">
        <v>13</v>
      </c>
      <c r="D31" s="183" t="str">
        <f>Competitors!F22</f>
        <v xml:space="preserve">  </v>
      </c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5"/>
      <c r="Q31" s="186"/>
      <c r="R31" s="187"/>
      <c r="S31" s="187"/>
      <c r="T31" s="187"/>
      <c r="U31" s="187"/>
      <c r="V31" s="187"/>
      <c r="W31" s="187"/>
      <c r="X31" s="187"/>
      <c r="Y31" s="187"/>
      <c r="Z31" s="188"/>
      <c r="AA31" s="186"/>
      <c r="AB31" s="187"/>
      <c r="AC31" s="187"/>
      <c r="AD31" s="187"/>
      <c r="AE31" s="188"/>
    </row>
    <row r="32" spans="2:31" s="50" customFormat="1" ht="18.75" customHeight="1" x14ac:dyDescent="0.15">
      <c r="B32" s="51">
        <v>23</v>
      </c>
      <c r="C32" s="52" t="s">
        <v>13</v>
      </c>
      <c r="D32" s="183" t="str">
        <f>Competitors!F23</f>
        <v xml:space="preserve">  </v>
      </c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5"/>
      <c r="Q32" s="186"/>
      <c r="R32" s="187"/>
      <c r="S32" s="187"/>
      <c r="T32" s="187"/>
      <c r="U32" s="187"/>
      <c r="V32" s="187"/>
      <c r="W32" s="187"/>
      <c r="X32" s="187"/>
      <c r="Y32" s="187"/>
      <c r="Z32" s="188"/>
      <c r="AA32" s="186"/>
      <c r="AB32" s="187"/>
      <c r="AC32" s="187"/>
      <c r="AD32" s="187"/>
      <c r="AE32" s="188"/>
    </row>
    <row r="33" spans="2:31" s="50" customFormat="1" ht="18.75" customHeight="1" x14ac:dyDescent="0.15">
      <c r="B33" s="51">
        <v>24</v>
      </c>
      <c r="C33" s="52" t="s">
        <v>13</v>
      </c>
      <c r="D33" s="183" t="str">
        <f>Competitors!F24</f>
        <v xml:space="preserve">  </v>
      </c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5"/>
      <c r="Q33" s="186"/>
      <c r="R33" s="187"/>
      <c r="S33" s="187"/>
      <c r="T33" s="187"/>
      <c r="U33" s="187"/>
      <c r="V33" s="187"/>
      <c r="W33" s="187"/>
      <c r="X33" s="187"/>
      <c r="Y33" s="187"/>
      <c r="Z33" s="188"/>
      <c r="AA33" s="186"/>
      <c r="AB33" s="187"/>
      <c r="AC33" s="187"/>
      <c r="AD33" s="187"/>
      <c r="AE33" s="188"/>
    </row>
    <row r="34" spans="2:31" s="50" customFormat="1" ht="18.75" customHeight="1" x14ac:dyDescent="0.15">
      <c r="B34" s="51">
        <v>25</v>
      </c>
      <c r="C34" s="52" t="s">
        <v>13</v>
      </c>
      <c r="D34" s="196" t="str">
        <f>Competitors!F25</f>
        <v xml:space="preserve">  </v>
      </c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7"/>
      <c r="R34" s="197"/>
      <c r="S34" s="197"/>
      <c r="T34" s="197"/>
      <c r="U34" s="197"/>
      <c r="V34" s="197"/>
      <c r="W34" s="197"/>
      <c r="X34" s="197"/>
      <c r="Y34" s="197"/>
      <c r="Z34" s="197"/>
      <c r="AA34" s="197"/>
      <c r="AB34" s="197"/>
      <c r="AC34" s="197"/>
      <c r="AD34" s="197"/>
      <c r="AE34" s="197"/>
    </row>
    <row r="35" spans="2:31" s="50" customFormat="1" ht="15" customHeight="1" x14ac:dyDescent="0.15">
      <c r="B35" s="53"/>
      <c r="C35" s="53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</row>
    <row r="36" spans="2:31" s="50" customFormat="1" ht="14.25" x14ac:dyDescent="0.15">
      <c r="B36" s="104" t="s">
        <v>14</v>
      </c>
      <c r="C36" s="104"/>
      <c r="D36" s="104"/>
      <c r="E36" s="104"/>
      <c r="F36" s="209">
        <f>Чемп!B8</f>
        <v>44433</v>
      </c>
      <c r="G36" s="209"/>
      <c r="H36" s="209"/>
      <c r="I36" s="209"/>
      <c r="J36" s="209"/>
      <c r="K36" s="209"/>
      <c r="L36" s="57"/>
      <c r="M36" s="57"/>
      <c r="N36" s="57"/>
      <c r="O36" s="57"/>
      <c r="P36" s="57"/>
      <c r="Q36" s="53"/>
      <c r="S36" s="105" t="s">
        <v>107</v>
      </c>
      <c r="T36" s="105"/>
      <c r="U36" s="105"/>
      <c r="V36" s="105"/>
      <c r="W36" s="105"/>
      <c r="X36" s="105"/>
      <c r="Y36" s="105"/>
      <c r="Z36" s="106"/>
      <c r="AA36" s="106"/>
      <c r="AB36" s="106"/>
      <c r="AC36" s="106"/>
      <c r="AD36" s="106"/>
      <c r="AE36" s="106"/>
    </row>
    <row r="37" spans="2:31" x14ac:dyDescent="0.15">
      <c r="Z37" s="195" t="s">
        <v>16</v>
      </c>
      <c r="AA37" s="195"/>
      <c r="AB37" s="195"/>
      <c r="AC37" s="195"/>
      <c r="AD37" s="195"/>
      <c r="AE37" s="195"/>
    </row>
  </sheetData>
  <sheetProtection formatCells="0" formatColumns="0" formatRows="0"/>
  <mergeCells count="91">
    <mergeCell ref="B36:E36"/>
    <mergeCell ref="F36:K36"/>
    <mergeCell ref="S36:Y36"/>
    <mergeCell ref="Z36:AE36"/>
    <mergeCell ref="Z37:AE37"/>
    <mergeCell ref="D33:P33"/>
    <mergeCell ref="Q33:Z33"/>
    <mergeCell ref="AA33:AE33"/>
    <mergeCell ref="D34:P34"/>
    <mergeCell ref="Q34:Z34"/>
    <mergeCell ref="AA34:AE34"/>
    <mergeCell ref="D31:P31"/>
    <mergeCell ref="Q31:Z31"/>
    <mergeCell ref="AA31:AE31"/>
    <mergeCell ref="D32:P32"/>
    <mergeCell ref="Q32:Z32"/>
    <mergeCell ref="AA32:AE32"/>
    <mergeCell ref="D29:P29"/>
    <mergeCell ref="Q29:Z29"/>
    <mergeCell ref="AA29:AE29"/>
    <mergeCell ref="D30:P30"/>
    <mergeCell ref="Q30:Z30"/>
    <mergeCell ref="AA30:AE30"/>
    <mergeCell ref="D27:P27"/>
    <mergeCell ref="Q27:Z27"/>
    <mergeCell ref="AA27:AE27"/>
    <mergeCell ref="D28:P28"/>
    <mergeCell ref="Q28:Z28"/>
    <mergeCell ref="AA28:AE28"/>
    <mergeCell ref="D25:P25"/>
    <mergeCell ref="Q25:Z25"/>
    <mergeCell ref="AA25:AE25"/>
    <mergeCell ref="D26:P26"/>
    <mergeCell ref="Q26:Z26"/>
    <mergeCell ref="AA26:AE26"/>
    <mergeCell ref="D23:P23"/>
    <mergeCell ref="Q23:Z23"/>
    <mergeCell ref="AA23:AE23"/>
    <mergeCell ref="D24:P24"/>
    <mergeCell ref="Q24:Z24"/>
    <mergeCell ref="AA24:AE24"/>
    <mergeCell ref="D21:P21"/>
    <mergeCell ref="Q21:Z21"/>
    <mergeCell ref="AA21:AE21"/>
    <mergeCell ref="D22:P22"/>
    <mergeCell ref="Q22:Z22"/>
    <mergeCell ref="AA22:AE22"/>
    <mergeCell ref="D19:P19"/>
    <mergeCell ref="Q19:Z19"/>
    <mergeCell ref="AA19:AE19"/>
    <mergeCell ref="D20:P20"/>
    <mergeCell ref="Q20:Z20"/>
    <mergeCell ref="AA20:AE20"/>
    <mergeCell ref="D17:P17"/>
    <mergeCell ref="Q17:Z17"/>
    <mergeCell ref="AA17:AE17"/>
    <mergeCell ref="D18:P18"/>
    <mergeCell ref="Q18:Z18"/>
    <mergeCell ref="AA18:AE18"/>
    <mergeCell ref="D16:P16"/>
    <mergeCell ref="Q16:Z16"/>
    <mergeCell ref="AA16:AE16"/>
    <mergeCell ref="D13:P13"/>
    <mergeCell ref="Q13:Z13"/>
    <mergeCell ref="AA13:AE13"/>
    <mergeCell ref="D14:P14"/>
    <mergeCell ref="Q14:Z14"/>
    <mergeCell ref="AA14:AE14"/>
    <mergeCell ref="D15:P15"/>
    <mergeCell ref="Q15:Z15"/>
    <mergeCell ref="AA15:AE15"/>
    <mergeCell ref="D11:P11"/>
    <mergeCell ref="Q11:Z11"/>
    <mergeCell ref="AA11:AE11"/>
    <mergeCell ref="D12:P12"/>
    <mergeCell ref="Q12:Z12"/>
    <mergeCell ref="AA12:AE12"/>
    <mergeCell ref="D10:P10"/>
    <mergeCell ref="Q10:Z10"/>
    <mergeCell ref="AA10:AE10"/>
    <mergeCell ref="B2:AF2"/>
    <mergeCell ref="B3:AE3"/>
    <mergeCell ref="B4:J4"/>
    <mergeCell ref="K4:AE4"/>
    <mergeCell ref="B5:J5"/>
    <mergeCell ref="B6:M6"/>
    <mergeCell ref="C7:AD7"/>
    <mergeCell ref="B9:C9"/>
    <mergeCell ref="D9:P9"/>
    <mergeCell ref="Q9:Z9"/>
    <mergeCell ref="AA9:AE9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9"/>
  <dimension ref="A1:AF38"/>
  <sheetViews>
    <sheetView view="pageBreakPreview" topLeftCell="B1" zoomScaleNormal="100" zoomScaleSheetLayoutView="100" workbookViewId="0">
      <selection activeCell="AD6" sqref="AD6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19" width="2.41796875" style="1" customWidth="1"/>
    <col min="20" max="21" width="3.09375" style="1" customWidth="1"/>
    <col min="22" max="26" width="2.4179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1:32" ht="28.35" customHeight="1" x14ac:dyDescent="0.15"/>
    <row r="2" spans="1:32" ht="18" x14ac:dyDescent="0.2">
      <c r="B2" s="189" t="s">
        <v>91</v>
      </c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</row>
    <row r="3" spans="1:32" ht="20.25" customHeight="1" x14ac:dyDescent="0.15">
      <c r="B3" s="190" t="s">
        <v>58</v>
      </c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0"/>
    </row>
    <row r="4" spans="1:32" ht="45.6" customHeight="1" x14ac:dyDescent="0.15">
      <c r="B4" s="96" t="s">
        <v>3</v>
      </c>
      <c r="C4" s="96"/>
      <c r="D4" s="96"/>
      <c r="E4" s="96"/>
      <c r="F4" s="96"/>
      <c r="G4" s="96"/>
      <c r="H4" s="96"/>
      <c r="I4" s="96"/>
      <c r="J4" s="96"/>
      <c r="K4" s="97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6"/>
    </row>
    <row r="5" spans="1:32" ht="24.75" customHeight="1" x14ac:dyDescent="0.15">
      <c r="B5" s="96" t="s">
        <v>6</v>
      </c>
      <c r="C5" s="96"/>
      <c r="D5" s="96"/>
      <c r="E5" s="96"/>
      <c r="F5" s="96"/>
      <c r="G5" s="96"/>
      <c r="H5" s="96"/>
      <c r="I5" s="96"/>
      <c r="J5" s="96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21.75" customHeight="1" x14ac:dyDescent="0.15">
      <c r="B6" s="123" t="s">
        <v>106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28.5" customHeight="1" x14ac:dyDescent="0.3">
      <c r="A7" s="22"/>
      <c r="B7" s="3"/>
      <c r="C7" s="191" t="s">
        <v>101</v>
      </c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8"/>
      <c r="AF7" s="8"/>
    </row>
    <row r="8" spans="1:32" ht="12" customHeight="1" x14ac:dyDescent="0.15"/>
    <row r="9" spans="1:32" s="50" customFormat="1" ht="60.75" customHeight="1" x14ac:dyDescent="0.15">
      <c r="B9" s="210" t="s">
        <v>9</v>
      </c>
      <c r="C9" s="210"/>
      <c r="D9" s="212" t="s">
        <v>59</v>
      </c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12"/>
      <c r="Y9" s="212"/>
      <c r="Z9" s="212"/>
      <c r="AA9" s="211" t="s">
        <v>110</v>
      </c>
      <c r="AB9" s="211"/>
      <c r="AC9" s="211"/>
      <c r="AD9" s="211"/>
      <c r="AE9" s="211"/>
    </row>
    <row r="10" spans="1:32" s="50" customFormat="1" ht="18.75" customHeight="1" x14ac:dyDescent="0.15">
      <c r="B10" s="51">
        <v>1</v>
      </c>
      <c r="C10" s="52" t="s">
        <v>13</v>
      </c>
      <c r="D10" s="196" t="str">
        <f>Experts!F1</f>
        <v>Фамилия Имя Отчество</v>
      </c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86"/>
      <c r="AB10" s="187"/>
      <c r="AC10" s="187"/>
      <c r="AD10" s="187"/>
      <c r="AE10" s="188"/>
    </row>
    <row r="11" spans="1:32" s="50" customFormat="1" ht="18.75" customHeight="1" x14ac:dyDescent="0.15">
      <c r="B11" s="51">
        <v>2</v>
      </c>
      <c r="C11" s="52" t="s">
        <v>13</v>
      </c>
      <c r="D11" s="196" t="str">
        <f>Experts!F2</f>
        <v>Фамилия Имя Отчество</v>
      </c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86"/>
      <c r="AB11" s="187"/>
      <c r="AC11" s="187"/>
      <c r="AD11" s="187"/>
      <c r="AE11" s="188"/>
    </row>
    <row r="12" spans="1:32" s="50" customFormat="1" ht="18.75" customHeight="1" x14ac:dyDescent="0.15">
      <c r="B12" s="51">
        <v>3</v>
      </c>
      <c r="C12" s="52" t="s">
        <v>13</v>
      </c>
      <c r="D12" s="196" t="str">
        <f>Experts!F3</f>
        <v>Фамилия Имя Отчество</v>
      </c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86"/>
      <c r="AB12" s="187"/>
      <c r="AC12" s="187"/>
      <c r="AD12" s="187"/>
      <c r="AE12" s="188"/>
    </row>
    <row r="13" spans="1:32" s="50" customFormat="1" ht="18.75" customHeight="1" x14ac:dyDescent="0.15">
      <c r="B13" s="51">
        <v>4</v>
      </c>
      <c r="C13" s="52" t="s">
        <v>13</v>
      </c>
      <c r="D13" s="196" t="str">
        <f>Experts!F4</f>
        <v>Фамилия Имя Отчество</v>
      </c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86"/>
      <c r="AB13" s="187"/>
      <c r="AC13" s="187"/>
      <c r="AD13" s="187"/>
      <c r="AE13" s="188"/>
    </row>
    <row r="14" spans="1:32" s="50" customFormat="1" ht="18.75" customHeight="1" x14ac:dyDescent="0.15">
      <c r="B14" s="51">
        <v>5</v>
      </c>
      <c r="C14" s="52" t="s">
        <v>13</v>
      </c>
      <c r="D14" s="196" t="str">
        <f>Experts!F5</f>
        <v>Фамилия Имя Отчество</v>
      </c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86"/>
      <c r="AB14" s="187"/>
      <c r="AC14" s="187"/>
      <c r="AD14" s="187"/>
      <c r="AE14" s="188"/>
    </row>
    <row r="15" spans="1:32" s="50" customFormat="1" ht="18.75" customHeight="1" x14ac:dyDescent="0.15">
      <c r="B15" s="51">
        <v>6</v>
      </c>
      <c r="C15" s="52" t="s">
        <v>13</v>
      </c>
      <c r="D15" s="196" t="str">
        <f>Experts!F6</f>
        <v>Фамилия Имя Отчество</v>
      </c>
      <c r="E15" s="196"/>
      <c r="F15" s="196"/>
      <c r="G15" s="196"/>
      <c r="H15" s="196"/>
      <c r="I15" s="196"/>
      <c r="J15" s="196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86"/>
      <c r="AB15" s="187"/>
      <c r="AC15" s="187"/>
      <c r="AD15" s="187"/>
      <c r="AE15" s="188"/>
    </row>
    <row r="16" spans="1:32" s="50" customFormat="1" ht="18.75" customHeight="1" x14ac:dyDescent="0.15">
      <c r="B16" s="51">
        <v>7</v>
      </c>
      <c r="C16" s="52" t="s">
        <v>13</v>
      </c>
      <c r="D16" s="196" t="str">
        <f>Experts!F7</f>
        <v>Фамилия Имя Отчество</v>
      </c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  <c r="AA16" s="186"/>
      <c r="AB16" s="187"/>
      <c r="AC16" s="187"/>
      <c r="AD16" s="187"/>
      <c r="AE16" s="188"/>
    </row>
    <row r="17" spans="2:31" s="50" customFormat="1" ht="18.75" customHeight="1" x14ac:dyDescent="0.15">
      <c r="B17" s="51">
        <v>8</v>
      </c>
      <c r="C17" s="52" t="s">
        <v>13</v>
      </c>
      <c r="D17" s="196" t="str">
        <f>Experts!F8</f>
        <v>Фамилия Имя Отчество</v>
      </c>
      <c r="E17" s="196"/>
      <c r="F17" s="196"/>
      <c r="G17" s="196"/>
      <c r="H17" s="196"/>
      <c r="I17" s="196"/>
      <c r="J17" s="196"/>
      <c r="K17" s="196"/>
      <c r="L17" s="196"/>
      <c r="M17" s="196"/>
      <c r="N17" s="196"/>
      <c r="O17" s="196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  <c r="AA17" s="186"/>
      <c r="AB17" s="187"/>
      <c r="AC17" s="187"/>
      <c r="AD17" s="187"/>
      <c r="AE17" s="188"/>
    </row>
    <row r="18" spans="2:31" s="50" customFormat="1" ht="18.75" customHeight="1" x14ac:dyDescent="0.15">
      <c r="B18" s="51">
        <v>9</v>
      </c>
      <c r="C18" s="52" t="s">
        <v>13</v>
      </c>
      <c r="D18" s="196" t="str">
        <f>Experts!F9</f>
        <v>Фамилия Имя Отчество</v>
      </c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86"/>
      <c r="AB18" s="187"/>
      <c r="AC18" s="187"/>
      <c r="AD18" s="187"/>
      <c r="AE18" s="188"/>
    </row>
    <row r="19" spans="2:31" s="50" customFormat="1" ht="18.75" customHeight="1" x14ac:dyDescent="0.15">
      <c r="B19" s="51">
        <v>10</v>
      </c>
      <c r="C19" s="52" t="s">
        <v>13</v>
      </c>
      <c r="D19" s="196" t="str">
        <f>Experts!F10</f>
        <v>Фамилия Имя Отчество</v>
      </c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86"/>
      <c r="AB19" s="187"/>
      <c r="AC19" s="187"/>
      <c r="AD19" s="187"/>
      <c r="AE19" s="188"/>
    </row>
    <row r="20" spans="2:31" s="50" customFormat="1" ht="18.75" customHeight="1" x14ac:dyDescent="0.15">
      <c r="B20" s="51">
        <v>10</v>
      </c>
      <c r="C20" s="52" t="s">
        <v>13</v>
      </c>
      <c r="D20" s="196" t="str">
        <f>Experts!F11</f>
        <v xml:space="preserve">  </v>
      </c>
      <c r="E20" s="196"/>
      <c r="F20" s="196"/>
      <c r="G20" s="196"/>
      <c r="H20" s="196"/>
      <c r="I20" s="196"/>
      <c r="J20" s="196"/>
      <c r="K20" s="196"/>
      <c r="L20" s="196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  <c r="AA20" s="213"/>
      <c r="AB20" s="106"/>
      <c r="AC20" s="106"/>
      <c r="AD20" s="106"/>
      <c r="AE20" s="214"/>
    </row>
    <row r="21" spans="2:31" s="50" customFormat="1" ht="18.75" customHeight="1" x14ac:dyDescent="0.15">
      <c r="B21" s="51">
        <v>11</v>
      </c>
      <c r="C21" s="52" t="s">
        <v>13</v>
      </c>
      <c r="D21" s="196" t="str">
        <f>Experts!F12</f>
        <v xml:space="preserve">  </v>
      </c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86"/>
      <c r="AB21" s="187"/>
      <c r="AC21" s="187"/>
      <c r="AD21" s="187"/>
      <c r="AE21" s="188"/>
    </row>
    <row r="22" spans="2:31" s="50" customFormat="1" ht="18.75" customHeight="1" x14ac:dyDescent="0.15">
      <c r="B22" s="51">
        <v>12</v>
      </c>
      <c r="C22" s="52" t="s">
        <v>13</v>
      </c>
      <c r="D22" s="196" t="str">
        <f>Experts!F13</f>
        <v xml:space="preserve">  </v>
      </c>
      <c r="E22" s="196"/>
      <c r="F22" s="196"/>
      <c r="G22" s="196"/>
      <c r="H22" s="196"/>
      <c r="I22" s="196"/>
      <c r="J22" s="196"/>
      <c r="K22" s="196"/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96"/>
      <c r="W22" s="196"/>
      <c r="X22" s="196"/>
      <c r="Y22" s="196"/>
      <c r="Z22" s="196"/>
      <c r="AA22" s="186"/>
      <c r="AB22" s="187"/>
      <c r="AC22" s="187"/>
      <c r="AD22" s="187"/>
      <c r="AE22" s="188"/>
    </row>
    <row r="23" spans="2:31" s="50" customFormat="1" ht="18.75" customHeight="1" x14ac:dyDescent="0.15">
      <c r="B23" s="51">
        <v>13</v>
      </c>
      <c r="C23" s="52" t="s">
        <v>13</v>
      </c>
      <c r="D23" s="196" t="str">
        <f>Experts!F14</f>
        <v xml:space="preserve">  </v>
      </c>
      <c r="E23" s="196"/>
      <c r="F23" s="196"/>
      <c r="G23" s="196"/>
      <c r="H23" s="196"/>
      <c r="I23" s="196"/>
      <c r="J23" s="196"/>
      <c r="K23" s="1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86"/>
      <c r="AB23" s="187"/>
      <c r="AC23" s="187"/>
      <c r="AD23" s="187"/>
      <c r="AE23" s="188"/>
    </row>
    <row r="24" spans="2:31" s="50" customFormat="1" ht="18.75" customHeight="1" x14ac:dyDescent="0.15">
      <c r="B24" s="51">
        <v>14</v>
      </c>
      <c r="C24" s="52" t="s">
        <v>13</v>
      </c>
      <c r="D24" s="196" t="str">
        <f>Experts!F15</f>
        <v xml:space="preserve">  </v>
      </c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86"/>
      <c r="AB24" s="187"/>
      <c r="AC24" s="187"/>
      <c r="AD24" s="187"/>
      <c r="AE24" s="188"/>
    </row>
    <row r="25" spans="2:31" s="50" customFormat="1" ht="18.75" customHeight="1" x14ac:dyDescent="0.15">
      <c r="B25" s="51">
        <v>15</v>
      </c>
      <c r="C25" s="52" t="s">
        <v>13</v>
      </c>
      <c r="D25" s="196" t="str">
        <f>Experts!F16</f>
        <v xml:space="preserve">  </v>
      </c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6"/>
      <c r="AA25" s="186"/>
      <c r="AB25" s="187"/>
      <c r="AC25" s="187"/>
      <c r="AD25" s="187"/>
      <c r="AE25" s="188"/>
    </row>
    <row r="26" spans="2:31" s="50" customFormat="1" ht="18.75" customHeight="1" x14ac:dyDescent="0.15">
      <c r="B26" s="51">
        <v>16</v>
      </c>
      <c r="C26" s="52" t="s">
        <v>13</v>
      </c>
      <c r="D26" s="196" t="str">
        <f>Experts!F17</f>
        <v xml:space="preserve">  </v>
      </c>
      <c r="E26" s="196"/>
      <c r="F26" s="196"/>
      <c r="G26" s="196"/>
      <c r="H26" s="196"/>
      <c r="I26" s="196"/>
      <c r="J26" s="196"/>
      <c r="K26" s="196"/>
      <c r="L26" s="196"/>
      <c r="M26" s="196"/>
      <c r="N26" s="196"/>
      <c r="O26" s="196"/>
      <c r="P26" s="196"/>
      <c r="Q26" s="196"/>
      <c r="R26" s="196"/>
      <c r="S26" s="196"/>
      <c r="T26" s="196"/>
      <c r="U26" s="196"/>
      <c r="V26" s="196"/>
      <c r="W26" s="196"/>
      <c r="X26" s="196"/>
      <c r="Y26" s="196"/>
      <c r="Z26" s="196"/>
      <c r="AA26" s="186"/>
      <c r="AB26" s="187"/>
      <c r="AC26" s="187"/>
      <c r="AD26" s="187"/>
      <c r="AE26" s="188"/>
    </row>
    <row r="27" spans="2:31" s="50" customFormat="1" ht="18.75" customHeight="1" x14ac:dyDescent="0.15">
      <c r="B27" s="51">
        <v>17</v>
      </c>
      <c r="C27" s="52" t="s">
        <v>13</v>
      </c>
      <c r="D27" s="196" t="str">
        <f>Experts!F18</f>
        <v xml:space="preserve">  </v>
      </c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  <c r="AA27" s="186"/>
      <c r="AB27" s="187"/>
      <c r="AC27" s="187"/>
      <c r="AD27" s="187"/>
      <c r="AE27" s="188"/>
    </row>
    <row r="28" spans="2:31" s="50" customFormat="1" ht="18.75" customHeight="1" x14ac:dyDescent="0.15">
      <c r="B28" s="51">
        <v>18</v>
      </c>
      <c r="C28" s="52" t="s">
        <v>13</v>
      </c>
      <c r="D28" s="196" t="str">
        <f>Experts!F19</f>
        <v xml:space="preserve">  </v>
      </c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6"/>
      <c r="Q28" s="196"/>
      <c r="R28" s="196"/>
      <c r="S28" s="196"/>
      <c r="T28" s="196"/>
      <c r="U28" s="196"/>
      <c r="V28" s="196"/>
      <c r="W28" s="196"/>
      <c r="X28" s="196"/>
      <c r="Y28" s="196"/>
      <c r="Z28" s="196"/>
      <c r="AA28" s="186"/>
      <c r="AB28" s="187"/>
      <c r="AC28" s="187"/>
      <c r="AD28" s="187"/>
      <c r="AE28" s="188"/>
    </row>
    <row r="29" spans="2:31" s="50" customFormat="1" ht="18.75" customHeight="1" x14ac:dyDescent="0.15">
      <c r="B29" s="51">
        <v>19</v>
      </c>
      <c r="C29" s="52" t="s">
        <v>13</v>
      </c>
      <c r="D29" s="196" t="str">
        <f>Experts!F20</f>
        <v xml:space="preserve">  </v>
      </c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  <c r="AA29" s="186"/>
      <c r="AB29" s="187"/>
      <c r="AC29" s="187"/>
      <c r="AD29" s="187"/>
      <c r="AE29" s="188"/>
    </row>
    <row r="30" spans="2:31" s="50" customFormat="1" ht="18.75" customHeight="1" x14ac:dyDescent="0.15">
      <c r="B30" s="51">
        <v>20</v>
      </c>
      <c r="C30" s="52" t="s">
        <v>13</v>
      </c>
      <c r="D30" s="196" t="str">
        <f>Experts!F21</f>
        <v xml:space="preserve">  </v>
      </c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86"/>
      <c r="AB30" s="187"/>
      <c r="AC30" s="187"/>
      <c r="AD30" s="187"/>
      <c r="AE30" s="188"/>
    </row>
    <row r="31" spans="2:31" s="50" customFormat="1" ht="18.75" customHeight="1" x14ac:dyDescent="0.15">
      <c r="B31" s="51">
        <v>21</v>
      </c>
      <c r="C31" s="52" t="s">
        <v>13</v>
      </c>
      <c r="D31" s="196" t="str">
        <f>Experts!F22</f>
        <v xml:space="preserve">  </v>
      </c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86"/>
      <c r="AB31" s="187"/>
      <c r="AC31" s="187"/>
      <c r="AD31" s="187"/>
      <c r="AE31" s="188"/>
    </row>
    <row r="32" spans="2:31" s="50" customFormat="1" ht="18.75" customHeight="1" x14ac:dyDescent="0.15">
      <c r="B32" s="51">
        <v>22</v>
      </c>
      <c r="C32" s="52" t="s">
        <v>13</v>
      </c>
      <c r="D32" s="196" t="str">
        <f>Experts!F23</f>
        <v xml:space="preserve">  </v>
      </c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86"/>
      <c r="AB32" s="187"/>
      <c r="AC32" s="187"/>
      <c r="AD32" s="187"/>
      <c r="AE32" s="188"/>
    </row>
    <row r="33" spans="2:31" s="50" customFormat="1" ht="18.75" customHeight="1" x14ac:dyDescent="0.15">
      <c r="B33" s="51">
        <v>23</v>
      </c>
      <c r="C33" s="52" t="s">
        <v>13</v>
      </c>
      <c r="D33" s="196" t="str">
        <f>Experts!F24</f>
        <v xml:space="preserve">  </v>
      </c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86"/>
      <c r="AB33" s="187"/>
      <c r="AC33" s="187"/>
      <c r="AD33" s="187"/>
      <c r="AE33" s="188"/>
    </row>
    <row r="34" spans="2:31" s="50" customFormat="1" ht="18.75" customHeight="1" x14ac:dyDescent="0.15">
      <c r="B34" s="51">
        <v>24</v>
      </c>
      <c r="C34" s="52" t="s">
        <v>13</v>
      </c>
      <c r="D34" s="196" t="str">
        <f>Experts!F25</f>
        <v xml:space="preserve">  </v>
      </c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6"/>
      <c r="R34" s="196"/>
      <c r="S34" s="196"/>
      <c r="T34" s="196"/>
      <c r="U34" s="196"/>
      <c r="V34" s="196"/>
      <c r="W34" s="196"/>
      <c r="X34" s="196"/>
      <c r="Y34" s="196"/>
      <c r="Z34" s="196"/>
      <c r="AA34" s="186"/>
      <c r="AB34" s="187"/>
      <c r="AC34" s="187"/>
      <c r="AD34" s="187"/>
      <c r="AE34" s="188"/>
    </row>
    <row r="35" spans="2:31" s="50" customFormat="1" ht="18.75" customHeight="1" x14ac:dyDescent="0.15">
      <c r="B35" s="51">
        <v>25</v>
      </c>
      <c r="C35" s="52" t="s">
        <v>13</v>
      </c>
      <c r="D35" s="196" t="str">
        <f>Experts!F26</f>
        <v xml:space="preserve">  </v>
      </c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196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7"/>
      <c r="AB35" s="197"/>
      <c r="AC35" s="197"/>
      <c r="AD35" s="197"/>
      <c r="AE35" s="197"/>
    </row>
    <row r="36" spans="2:31" s="50" customFormat="1" ht="15" customHeight="1" x14ac:dyDescent="0.15">
      <c r="B36" s="53"/>
      <c r="C36" s="53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</row>
    <row r="37" spans="2:31" s="50" customFormat="1" ht="14.25" x14ac:dyDescent="0.15">
      <c r="B37" s="104" t="s">
        <v>14</v>
      </c>
      <c r="C37" s="104"/>
      <c r="D37" s="104"/>
      <c r="E37" s="104"/>
      <c r="F37" s="198">
        <f>Чемп!B8</f>
        <v>44433</v>
      </c>
      <c r="G37" s="198"/>
      <c r="H37" s="198"/>
      <c r="I37" s="198"/>
      <c r="J37" s="198"/>
      <c r="K37" s="198"/>
      <c r="L37" s="57"/>
      <c r="M37" s="57"/>
      <c r="N37" s="57"/>
      <c r="O37" s="57"/>
      <c r="P37" s="57"/>
      <c r="Q37" s="53"/>
      <c r="S37" s="105" t="s">
        <v>107</v>
      </c>
      <c r="T37" s="105"/>
      <c r="U37" s="105"/>
      <c r="V37" s="105"/>
      <c r="W37" s="105"/>
      <c r="X37" s="105"/>
      <c r="Y37" s="105"/>
      <c r="Z37" s="106"/>
      <c r="AA37" s="106"/>
      <c r="AB37" s="106"/>
      <c r="AC37" s="106"/>
      <c r="AD37" s="106"/>
      <c r="AE37" s="106"/>
    </row>
    <row r="38" spans="2:31" x14ac:dyDescent="0.15">
      <c r="Z38" s="195" t="s">
        <v>16</v>
      </c>
      <c r="AA38" s="195"/>
      <c r="AB38" s="195"/>
      <c r="AC38" s="195"/>
      <c r="AD38" s="195"/>
      <c r="AE38" s="195"/>
    </row>
  </sheetData>
  <sheetProtection formatCells="0" formatColumns="0" formatRows="0"/>
  <mergeCells count="67">
    <mergeCell ref="Z38:AE38"/>
    <mergeCell ref="AA35:AE35"/>
    <mergeCell ref="B37:E37"/>
    <mergeCell ref="F37:K37"/>
    <mergeCell ref="S37:Y37"/>
    <mergeCell ref="Z37:AE37"/>
    <mergeCell ref="D35:Z35"/>
    <mergeCell ref="AA33:AE33"/>
    <mergeCell ref="AA34:AE34"/>
    <mergeCell ref="D33:Z33"/>
    <mergeCell ref="D34:Z34"/>
    <mergeCell ref="AA31:AE31"/>
    <mergeCell ref="AA32:AE32"/>
    <mergeCell ref="D31:Z31"/>
    <mergeCell ref="D32:Z32"/>
    <mergeCell ref="AA29:AE29"/>
    <mergeCell ref="AA30:AE30"/>
    <mergeCell ref="D29:Z29"/>
    <mergeCell ref="D30:Z30"/>
    <mergeCell ref="AA27:AE27"/>
    <mergeCell ref="AA28:AE28"/>
    <mergeCell ref="D27:Z27"/>
    <mergeCell ref="D28:Z28"/>
    <mergeCell ref="AA25:AE25"/>
    <mergeCell ref="AA26:AE26"/>
    <mergeCell ref="D25:Z25"/>
    <mergeCell ref="D26:Z26"/>
    <mergeCell ref="AA23:AE23"/>
    <mergeCell ref="AA24:AE24"/>
    <mergeCell ref="D23:Z23"/>
    <mergeCell ref="D24:Z24"/>
    <mergeCell ref="AA20:AE20"/>
    <mergeCell ref="AA21:AE21"/>
    <mergeCell ref="AA22:AE22"/>
    <mergeCell ref="D20:Z20"/>
    <mergeCell ref="D21:Z21"/>
    <mergeCell ref="D22:Z22"/>
    <mergeCell ref="AA18:AE18"/>
    <mergeCell ref="AA19:AE19"/>
    <mergeCell ref="D18:Z18"/>
    <mergeCell ref="D19:Z19"/>
    <mergeCell ref="AA15:AE15"/>
    <mergeCell ref="AA16:AE16"/>
    <mergeCell ref="AA17:AE17"/>
    <mergeCell ref="D15:Z15"/>
    <mergeCell ref="D16:Z16"/>
    <mergeCell ref="D17:Z17"/>
    <mergeCell ref="AA13:AE13"/>
    <mergeCell ref="AA14:AE14"/>
    <mergeCell ref="AA11:AE11"/>
    <mergeCell ref="AA12:AE12"/>
    <mergeCell ref="D11:Z11"/>
    <mergeCell ref="D12:Z12"/>
    <mergeCell ref="D13:Z13"/>
    <mergeCell ref="D14:Z14"/>
    <mergeCell ref="C7:AD7"/>
    <mergeCell ref="B9:C9"/>
    <mergeCell ref="AA9:AE9"/>
    <mergeCell ref="AA10:AE10"/>
    <mergeCell ref="D9:Z9"/>
    <mergeCell ref="D10:Z10"/>
    <mergeCell ref="B6:M6"/>
    <mergeCell ref="B2:AF2"/>
    <mergeCell ref="B3:AE3"/>
    <mergeCell ref="B4:J4"/>
    <mergeCell ref="K4:AE4"/>
    <mergeCell ref="B5:J5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0"/>
  <dimension ref="B1:AF34"/>
  <sheetViews>
    <sheetView view="pageBreakPreview" zoomScale="80" zoomScaleNormal="100" zoomScaleSheetLayoutView="80" workbookViewId="0">
      <selection activeCell="Q24" sqref="Q24:Z24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19" width="2.41796875" style="1" customWidth="1"/>
    <col min="20" max="21" width="3.09375" style="1" customWidth="1"/>
    <col min="22" max="26" width="2.4179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2:32" ht="28.35" customHeight="1" x14ac:dyDescent="0.15"/>
    <row r="2" spans="2:32" ht="18" x14ac:dyDescent="0.2">
      <c r="B2" s="189" t="s">
        <v>91</v>
      </c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</row>
    <row r="3" spans="2:32" ht="20.25" customHeight="1" x14ac:dyDescent="0.15">
      <c r="B3" s="190" t="s">
        <v>60</v>
      </c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0"/>
    </row>
    <row r="4" spans="2:32" s="50" customFormat="1" ht="45.6" customHeight="1" x14ac:dyDescent="0.15">
      <c r="B4" s="96" t="s">
        <v>3</v>
      </c>
      <c r="C4" s="96"/>
      <c r="D4" s="96"/>
      <c r="E4" s="96"/>
      <c r="F4" s="96"/>
      <c r="G4" s="96"/>
      <c r="H4" s="96"/>
      <c r="I4" s="96"/>
      <c r="J4" s="96"/>
      <c r="K4" s="97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6"/>
    </row>
    <row r="5" spans="2:32" s="50" customFormat="1" ht="24.75" customHeight="1" x14ac:dyDescent="0.15">
      <c r="B5" s="96" t="s">
        <v>6</v>
      </c>
      <c r="C5" s="96"/>
      <c r="D5" s="96"/>
      <c r="E5" s="96"/>
      <c r="F5" s="96"/>
      <c r="G5" s="96"/>
      <c r="H5" s="96"/>
      <c r="I5" s="96"/>
      <c r="J5" s="96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2:32" s="50" customFormat="1" ht="21.75" customHeight="1" x14ac:dyDescent="0.15">
      <c r="B6" s="123" t="s">
        <v>106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2:32" ht="12" customHeight="1" x14ac:dyDescent="0.15"/>
    <row r="8" spans="2:32" ht="60.75" customHeight="1" x14ac:dyDescent="0.15">
      <c r="B8" s="192" t="s">
        <v>9</v>
      </c>
      <c r="C8" s="192"/>
      <c r="D8" s="222" t="s">
        <v>61</v>
      </c>
      <c r="E8" s="223"/>
      <c r="F8" s="223"/>
      <c r="G8" s="224"/>
      <c r="H8" s="218" t="s">
        <v>62</v>
      </c>
      <c r="I8" s="219"/>
      <c r="J8" s="219"/>
      <c r="K8" s="219"/>
      <c r="L8" s="219"/>
      <c r="M8" s="219"/>
      <c r="N8" s="219"/>
      <c r="O8" s="219"/>
      <c r="P8" s="220"/>
      <c r="Q8" s="218" t="s">
        <v>63</v>
      </c>
      <c r="R8" s="219"/>
      <c r="S8" s="219"/>
      <c r="T8" s="219"/>
      <c r="U8" s="219"/>
      <c r="V8" s="219"/>
      <c r="W8" s="219"/>
      <c r="X8" s="219"/>
      <c r="Y8" s="219"/>
      <c r="Z8" s="220"/>
      <c r="AA8" s="218" t="s">
        <v>12</v>
      </c>
      <c r="AB8" s="219"/>
      <c r="AC8" s="219"/>
      <c r="AD8" s="219"/>
      <c r="AE8" s="220"/>
    </row>
    <row r="9" spans="2:32" ht="36" customHeight="1" x14ac:dyDescent="0.15">
      <c r="B9" s="4"/>
      <c r="C9" s="5"/>
      <c r="D9" s="215"/>
      <c r="E9" s="216"/>
      <c r="F9" s="216"/>
      <c r="G9" s="217"/>
      <c r="H9" s="215"/>
      <c r="I9" s="216"/>
      <c r="J9" s="216"/>
      <c r="K9" s="216"/>
      <c r="L9" s="216"/>
      <c r="M9" s="216"/>
      <c r="N9" s="216"/>
      <c r="O9" s="216"/>
      <c r="P9" s="217"/>
      <c r="Q9" s="215"/>
      <c r="R9" s="216"/>
      <c r="S9" s="216"/>
      <c r="T9" s="216"/>
      <c r="U9" s="216"/>
      <c r="V9" s="216"/>
      <c r="W9" s="216"/>
      <c r="X9" s="216"/>
      <c r="Y9" s="216"/>
      <c r="Z9" s="217"/>
      <c r="AA9" s="215"/>
      <c r="AB9" s="216"/>
      <c r="AC9" s="216"/>
      <c r="AD9" s="216"/>
      <c r="AE9" s="217"/>
    </row>
    <row r="10" spans="2:32" ht="36" customHeight="1" x14ac:dyDescent="0.15">
      <c r="B10" s="4"/>
      <c r="C10" s="5"/>
      <c r="D10" s="215"/>
      <c r="E10" s="216"/>
      <c r="F10" s="216"/>
      <c r="G10" s="217"/>
      <c r="H10" s="215"/>
      <c r="I10" s="216"/>
      <c r="J10" s="216"/>
      <c r="K10" s="216"/>
      <c r="L10" s="216"/>
      <c r="M10" s="216"/>
      <c r="N10" s="216"/>
      <c r="O10" s="216"/>
      <c r="P10" s="217"/>
      <c r="Q10" s="215"/>
      <c r="R10" s="216"/>
      <c r="S10" s="216"/>
      <c r="T10" s="216"/>
      <c r="U10" s="216"/>
      <c r="V10" s="216"/>
      <c r="W10" s="216"/>
      <c r="X10" s="216"/>
      <c r="Y10" s="216"/>
      <c r="Z10" s="217"/>
      <c r="AA10" s="215"/>
      <c r="AB10" s="216"/>
      <c r="AC10" s="216"/>
      <c r="AD10" s="216"/>
      <c r="AE10" s="217"/>
    </row>
    <row r="11" spans="2:32" ht="36" customHeight="1" x14ac:dyDescent="0.15">
      <c r="B11" s="4"/>
      <c r="C11" s="5"/>
      <c r="D11" s="215"/>
      <c r="E11" s="216"/>
      <c r="F11" s="216"/>
      <c r="G11" s="217"/>
      <c r="H11" s="215"/>
      <c r="I11" s="216"/>
      <c r="J11" s="216"/>
      <c r="K11" s="216"/>
      <c r="L11" s="216"/>
      <c r="M11" s="216"/>
      <c r="N11" s="216"/>
      <c r="O11" s="216"/>
      <c r="P11" s="217"/>
      <c r="Q11" s="215"/>
      <c r="R11" s="216"/>
      <c r="S11" s="216"/>
      <c r="T11" s="216"/>
      <c r="U11" s="216"/>
      <c r="V11" s="216"/>
      <c r="W11" s="216"/>
      <c r="X11" s="216"/>
      <c r="Y11" s="216"/>
      <c r="Z11" s="217"/>
      <c r="AA11" s="215"/>
      <c r="AB11" s="216"/>
      <c r="AC11" s="216"/>
      <c r="AD11" s="216"/>
      <c r="AE11" s="217"/>
    </row>
    <row r="12" spans="2:32" ht="36" customHeight="1" x14ac:dyDescent="0.15">
      <c r="B12" s="4"/>
      <c r="C12" s="5"/>
      <c r="D12" s="215"/>
      <c r="E12" s="216"/>
      <c r="F12" s="216"/>
      <c r="G12" s="217"/>
      <c r="H12" s="215"/>
      <c r="I12" s="216"/>
      <c r="J12" s="216"/>
      <c r="K12" s="216"/>
      <c r="L12" s="216"/>
      <c r="M12" s="216"/>
      <c r="N12" s="216"/>
      <c r="O12" s="216"/>
      <c r="P12" s="217"/>
      <c r="Q12" s="215"/>
      <c r="R12" s="216"/>
      <c r="S12" s="216"/>
      <c r="T12" s="216"/>
      <c r="U12" s="216"/>
      <c r="V12" s="216"/>
      <c r="W12" s="216"/>
      <c r="X12" s="216"/>
      <c r="Y12" s="216"/>
      <c r="Z12" s="217"/>
      <c r="AA12" s="215"/>
      <c r="AB12" s="216"/>
      <c r="AC12" s="216"/>
      <c r="AD12" s="216"/>
      <c r="AE12" s="217"/>
    </row>
    <row r="13" spans="2:32" ht="36" customHeight="1" x14ac:dyDescent="0.15">
      <c r="B13" s="4"/>
      <c r="C13" s="5"/>
      <c r="D13" s="215"/>
      <c r="E13" s="216"/>
      <c r="F13" s="216"/>
      <c r="G13" s="217"/>
      <c r="H13" s="215"/>
      <c r="I13" s="216"/>
      <c r="J13" s="216"/>
      <c r="K13" s="216"/>
      <c r="L13" s="216"/>
      <c r="M13" s="216"/>
      <c r="N13" s="216"/>
      <c r="O13" s="216"/>
      <c r="P13" s="217"/>
      <c r="Q13" s="215"/>
      <c r="R13" s="216"/>
      <c r="S13" s="216"/>
      <c r="T13" s="216"/>
      <c r="U13" s="216"/>
      <c r="V13" s="216"/>
      <c r="W13" s="216"/>
      <c r="X13" s="216"/>
      <c r="Y13" s="216"/>
      <c r="Z13" s="217"/>
      <c r="AA13" s="215"/>
      <c r="AB13" s="216"/>
      <c r="AC13" s="216"/>
      <c r="AD13" s="216"/>
      <c r="AE13" s="217"/>
    </row>
    <row r="14" spans="2:32" ht="36" customHeight="1" x14ac:dyDescent="0.15">
      <c r="B14" s="4"/>
      <c r="C14" s="5"/>
      <c r="D14" s="215"/>
      <c r="E14" s="216"/>
      <c r="F14" s="216"/>
      <c r="G14" s="217"/>
      <c r="H14" s="215"/>
      <c r="I14" s="216"/>
      <c r="J14" s="216"/>
      <c r="K14" s="216"/>
      <c r="L14" s="216"/>
      <c r="M14" s="216"/>
      <c r="N14" s="216"/>
      <c r="O14" s="216"/>
      <c r="P14" s="217"/>
      <c r="Q14" s="215"/>
      <c r="R14" s="216"/>
      <c r="S14" s="216"/>
      <c r="T14" s="216"/>
      <c r="U14" s="216"/>
      <c r="V14" s="216"/>
      <c r="W14" s="216"/>
      <c r="X14" s="216"/>
      <c r="Y14" s="216"/>
      <c r="Z14" s="217"/>
      <c r="AA14" s="215"/>
      <c r="AB14" s="216"/>
      <c r="AC14" s="216"/>
      <c r="AD14" s="216"/>
      <c r="AE14" s="217"/>
    </row>
    <row r="15" spans="2:32" ht="36" customHeight="1" x14ac:dyDescent="0.15">
      <c r="B15" s="4"/>
      <c r="C15" s="5"/>
      <c r="D15" s="215"/>
      <c r="E15" s="216"/>
      <c r="F15" s="216"/>
      <c r="G15" s="217"/>
      <c r="H15" s="215"/>
      <c r="I15" s="216"/>
      <c r="J15" s="216"/>
      <c r="K15" s="216"/>
      <c r="L15" s="216"/>
      <c r="M15" s="216"/>
      <c r="N15" s="216"/>
      <c r="O15" s="216"/>
      <c r="P15" s="217"/>
      <c r="Q15" s="215"/>
      <c r="R15" s="216"/>
      <c r="S15" s="216"/>
      <c r="T15" s="216"/>
      <c r="U15" s="216"/>
      <c r="V15" s="216"/>
      <c r="W15" s="216"/>
      <c r="X15" s="216"/>
      <c r="Y15" s="216"/>
      <c r="Z15" s="217"/>
      <c r="AA15" s="215"/>
      <c r="AB15" s="216"/>
      <c r="AC15" s="216"/>
      <c r="AD15" s="216"/>
      <c r="AE15" s="217"/>
    </row>
    <row r="16" spans="2:32" ht="36" customHeight="1" x14ac:dyDescent="0.15">
      <c r="B16" s="4"/>
      <c r="C16" s="5"/>
      <c r="D16" s="215"/>
      <c r="E16" s="216"/>
      <c r="F16" s="216"/>
      <c r="G16" s="217"/>
      <c r="H16" s="215"/>
      <c r="I16" s="216"/>
      <c r="J16" s="216"/>
      <c r="K16" s="216"/>
      <c r="L16" s="216"/>
      <c r="M16" s="216"/>
      <c r="N16" s="216"/>
      <c r="O16" s="216"/>
      <c r="P16" s="217"/>
      <c r="Q16" s="215"/>
      <c r="R16" s="216"/>
      <c r="S16" s="216"/>
      <c r="T16" s="216"/>
      <c r="U16" s="216"/>
      <c r="V16" s="216"/>
      <c r="W16" s="216"/>
      <c r="X16" s="216"/>
      <c r="Y16" s="216"/>
      <c r="Z16" s="217"/>
      <c r="AA16" s="215"/>
      <c r="AB16" s="216"/>
      <c r="AC16" s="216"/>
      <c r="AD16" s="216"/>
      <c r="AE16" s="217"/>
    </row>
    <row r="17" spans="2:31" ht="36" customHeight="1" x14ac:dyDescent="0.15">
      <c r="B17" s="4"/>
      <c r="C17" s="5"/>
      <c r="D17" s="215"/>
      <c r="E17" s="216"/>
      <c r="F17" s="216"/>
      <c r="G17" s="217"/>
      <c r="H17" s="215"/>
      <c r="I17" s="216"/>
      <c r="J17" s="216"/>
      <c r="K17" s="216"/>
      <c r="L17" s="216"/>
      <c r="M17" s="216"/>
      <c r="N17" s="216"/>
      <c r="O17" s="216"/>
      <c r="P17" s="217"/>
      <c r="Q17" s="215"/>
      <c r="R17" s="216"/>
      <c r="S17" s="216"/>
      <c r="T17" s="216"/>
      <c r="U17" s="216"/>
      <c r="V17" s="216"/>
      <c r="W17" s="216"/>
      <c r="X17" s="216"/>
      <c r="Y17" s="216"/>
      <c r="Z17" s="217"/>
      <c r="AA17" s="215"/>
      <c r="AB17" s="216"/>
      <c r="AC17" s="216"/>
      <c r="AD17" s="216"/>
      <c r="AE17" s="217"/>
    </row>
    <row r="18" spans="2:31" ht="36" customHeight="1" x14ac:dyDescent="0.15">
      <c r="B18" s="4"/>
      <c r="C18" s="5"/>
      <c r="D18" s="215"/>
      <c r="E18" s="216"/>
      <c r="F18" s="216"/>
      <c r="G18" s="217"/>
      <c r="H18" s="215"/>
      <c r="I18" s="216"/>
      <c r="J18" s="216"/>
      <c r="K18" s="216"/>
      <c r="L18" s="216"/>
      <c r="M18" s="216"/>
      <c r="N18" s="216"/>
      <c r="O18" s="216"/>
      <c r="P18" s="217"/>
      <c r="Q18" s="215"/>
      <c r="R18" s="216"/>
      <c r="S18" s="216"/>
      <c r="T18" s="216"/>
      <c r="U18" s="216"/>
      <c r="V18" s="216"/>
      <c r="W18" s="216"/>
      <c r="X18" s="216"/>
      <c r="Y18" s="216"/>
      <c r="Z18" s="217"/>
      <c r="AA18" s="215"/>
      <c r="AB18" s="216"/>
      <c r="AC18" s="216"/>
      <c r="AD18" s="216"/>
      <c r="AE18" s="217"/>
    </row>
    <row r="19" spans="2:31" ht="36" customHeight="1" x14ac:dyDescent="0.15">
      <c r="B19" s="4"/>
      <c r="C19" s="5"/>
      <c r="D19" s="215"/>
      <c r="E19" s="216"/>
      <c r="F19" s="216"/>
      <c r="G19" s="217"/>
      <c r="H19" s="215"/>
      <c r="I19" s="216"/>
      <c r="J19" s="216"/>
      <c r="K19" s="216"/>
      <c r="L19" s="216"/>
      <c r="M19" s="216"/>
      <c r="N19" s="216"/>
      <c r="O19" s="216"/>
      <c r="P19" s="217"/>
      <c r="Q19" s="215"/>
      <c r="R19" s="216"/>
      <c r="S19" s="216"/>
      <c r="T19" s="216"/>
      <c r="U19" s="216"/>
      <c r="V19" s="216"/>
      <c r="W19" s="216"/>
      <c r="X19" s="216"/>
      <c r="Y19" s="216"/>
      <c r="Z19" s="217"/>
      <c r="AA19" s="215"/>
      <c r="AB19" s="216"/>
      <c r="AC19" s="216"/>
      <c r="AD19" s="216"/>
      <c r="AE19" s="217"/>
    </row>
    <row r="20" spans="2:31" ht="36" customHeight="1" x14ac:dyDescent="0.15">
      <c r="B20" s="4"/>
      <c r="C20" s="5"/>
      <c r="D20" s="215"/>
      <c r="E20" s="216"/>
      <c r="F20" s="216"/>
      <c r="G20" s="217"/>
      <c r="H20" s="215"/>
      <c r="I20" s="216"/>
      <c r="J20" s="216"/>
      <c r="K20" s="216"/>
      <c r="L20" s="216"/>
      <c r="M20" s="216"/>
      <c r="N20" s="216"/>
      <c r="O20" s="216"/>
      <c r="P20" s="217"/>
      <c r="Q20" s="215"/>
      <c r="R20" s="216"/>
      <c r="S20" s="216"/>
      <c r="T20" s="216"/>
      <c r="U20" s="216"/>
      <c r="V20" s="216"/>
      <c r="W20" s="216"/>
      <c r="X20" s="216"/>
      <c r="Y20" s="216"/>
      <c r="Z20" s="217"/>
      <c r="AA20" s="215"/>
      <c r="AB20" s="216"/>
      <c r="AC20" s="216"/>
      <c r="AD20" s="216"/>
      <c r="AE20" s="217"/>
    </row>
    <row r="21" spans="2:31" ht="36" customHeight="1" x14ac:dyDescent="0.15">
      <c r="B21" s="4"/>
      <c r="C21" s="5"/>
      <c r="D21" s="215"/>
      <c r="E21" s="216"/>
      <c r="F21" s="216"/>
      <c r="G21" s="217"/>
      <c r="H21" s="215"/>
      <c r="I21" s="216"/>
      <c r="J21" s="216"/>
      <c r="K21" s="216"/>
      <c r="L21" s="216"/>
      <c r="M21" s="216"/>
      <c r="N21" s="216"/>
      <c r="O21" s="216"/>
      <c r="P21" s="217"/>
      <c r="Q21" s="215"/>
      <c r="R21" s="216"/>
      <c r="S21" s="216"/>
      <c r="T21" s="216"/>
      <c r="U21" s="216"/>
      <c r="V21" s="216"/>
      <c r="W21" s="216"/>
      <c r="X21" s="216"/>
      <c r="Y21" s="216"/>
      <c r="Z21" s="217"/>
      <c r="AA21" s="215"/>
      <c r="AB21" s="216"/>
      <c r="AC21" s="216"/>
      <c r="AD21" s="216"/>
      <c r="AE21" s="217"/>
    </row>
    <row r="22" spans="2:31" ht="36" customHeight="1" x14ac:dyDescent="0.15">
      <c r="B22" s="4"/>
      <c r="C22" s="5"/>
      <c r="D22" s="215"/>
      <c r="E22" s="216"/>
      <c r="F22" s="216"/>
      <c r="G22" s="217"/>
      <c r="H22" s="215"/>
      <c r="I22" s="216"/>
      <c r="J22" s="216"/>
      <c r="K22" s="216"/>
      <c r="L22" s="216"/>
      <c r="M22" s="216"/>
      <c r="N22" s="216"/>
      <c r="O22" s="216"/>
      <c r="P22" s="217"/>
      <c r="Q22" s="215"/>
      <c r="R22" s="216"/>
      <c r="S22" s="216"/>
      <c r="T22" s="216"/>
      <c r="U22" s="216"/>
      <c r="V22" s="216"/>
      <c r="W22" s="216"/>
      <c r="X22" s="216"/>
      <c r="Y22" s="216"/>
      <c r="Z22" s="217"/>
      <c r="AA22" s="215"/>
      <c r="AB22" s="216"/>
      <c r="AC22" s="216"/>
      <c r="AD22" s="216"/>
      <c r="AE22" s="217"/>
    </row>
    <row r="23" spans="2:31" ht="36" customHeight="1" x14ac:dyDescent="0.15">
      <c r="B23" s="4"/>
      <c r="C23" s="5"/>
      <c r="D23" s="215"/>
      <c r="E23" s="216"/>
      <c r="F23" s="216"/>
      <c r="G23" s="217"/>
      <c r="H23" s="215"/>
      <c r="I23" s="216"/>
      <c r="J23" s="216"/>
      <c r="K23" s="216"/>
      <c r="L23" s="216"/>
      <c r="M23" s="216"/>
      <c r="N23" s="216"/>
      <c r="O23" s="216"/>
      <c r="P23" s="217"/>
      <c r="Q23" s="215"/>
      <c r="R23" s="216"/>
      <c r="S23" s="216"/>
      <c r="T23" s="216"/>
      <c r="U23" s="216"/>
      <c r="V23" s="216"/>
      <c r="W23" s="216"/>
      <c r="X23" s="216"/>
      <c r="Y23" s="216"/>
      <c r="Z23" s="217"/>
      <c r="AA23" s="215"/>
      <c r="AB23" s="216"/>
      <c r="AC23" s="216"/>
      <c r="AD23" s="216"/>
      <c r="AE23" s="217"/>
    </row>
    <row r="24" spans="2:31" ht="36" customHeight="1" x14ac:dyDescent="0.15">
      <c r="B24" s="4"/>
      <c r="C24" s="5"/>
      <c r="D24" s="215"/>
      <c r="E24" s="216"/>
      <c r="F24" s="216"/>
      <c r="G24" s="217"/>
      <c r="H24" s="215"/>
      <c r="I24" s="216"/>
      <c r="J24" s="216"/>
      <c r="K24" s="216"/>
      <c r="L24" s="216"/>
      <c r="M24" s="216"/>
      <c r="N24" s="216"/>
      <c r="O24" s="216"/>
      <c r="P24" s="217"/>
      <c r="Q24" s="215"/>
      <c r="R24" s="216"/>
      <c r="S24" s="216"/>
      <c r="T24" s="216"/>
      <c r="U24" s="216"/>
      <c r="V24" s="216"/>
      <c r="W24" s="216"/>
      <c r="X24" s="216"/>
      <c r="Y24" s="216"/>
      <c r="Z24" s="217"/>
      <c r="AA24" s="215"/>
      <c r="AB24" s="216"/>
      <c r="AC24" s="216"/>
      <c r="AD24" s="216"/>
      <c r="AE24" s="217"/>
    </row>
    <row r="25" spans="2:31" ht="36" customHeight="1" x14ac:dyDescent="0.15">
      <c r="B25" s="4"/>
      <c r="C25" s="5"/>
      <c r="D25" s="215"/>
      <c r="E25" s="216"/>
      <c r="F25" s="216"/>
      <c r="G25" s="217"/>
      <c r="H25" s="215"/>
      <c r="I25" s="216"/>
      <c r="J25" s="216"/>
      <c r="K25" s="216"/>
      <c r="L25" s="216"/>
      <c r="M25" s="216"/>
      <c r="N25" s="216"/>
      <c r="O25" s="216"/>
      <c r="P25" s="217"/>
      <c r="Q25" s="215"/>
      <c r="R25" s="216"/>
      <c r="S25" s="216"/>
      <c r="T25" s="216"/>
      <c r="U25" s="216"/>
      <c r="V25" s="216"/>
      <c r="W25" s="216"/>
      <c r="X25" s="216"/>
      <c r="Y25" s="216"/>
      <c r="Z25" s="217"/>
      <c r="AA25" s="215"/>
      <c r="AB25" s="216"/>
      <c r="AC25" s="216"/>
      <c r="AD25" s="216"/>
      <c r="AE25" s="217"/>
    </row>
    <row r="26" spans="2:31" ht="36" customHeight="1" x14ac:dyDescent="0.15">
      <c r="B26" s="4"/>
      <c r="C26" s="5"/>
      <c r="D26" s="215"/>
      <c r="E26" s="216"/>
      <c r="F26" s="216"/>
      <c r="G26" s="217"/>
      <c r="H26" s="215"/>
      <c r="I26" s="216"/>
      <c r="J26" s="216"/>
      <c r="K26" s="216"/>
      <c r="L26" s="216"/>
      <c r="M26" s="216"/>
      <c r="N26" s="216"/>
      <c r="O26" s="216"/>
      <c r="P26" s="217"/>
      <c r="Q26" s="215"/>
      <c r="R26" s="216"/>
      <c r="S26" s="216"/>
      <c r="T26" s="216"/>
      <c r="U26" s="216"/>
      <c r="V26" s="216"/>
      <c r="W26" s="216"/>
      <c r="X26" s="216"/>
      <c r="Y26" s="216"/>
      <c r="Z26" s="217"/>
      <c r="AA26" s="215"/>
      <c r="AB26" s="216"/>
      <c r="AC26" s="216"/>
      <c r="AD26" s="216"/>
      <c r="AE26" s="217"/>
    </row>
    <row r="27" spans="2:31" ht="36" customHeight="1" x14ac:dyDescent="0.15">
      <c r="B27" s="4"/>
      <c r="C27" s="5"/>
      <c r="D27" s="215"/>
      <c r="E27" s="216"/>
      <c r="F27" s="216"/>
      <c r="G27" s="217"/>
      <c r="H27" s="215"/>
      <c r="I27" s="216"/>
      <c r="J27" s="216"/>
      <c r="K27" s="216"/>
      <c r="L27" s="216"/>
      <c r="M27" s="216"/>
      <c r="N27" s="216"/>
      <c r="O27" s="216"/>
      <c r="P27" s="217"/>
      <c r="Q27" s="215"/>
      <c r="R27" s="216"/>
      <c r="S27" s="216"/>
      <c r="T27" s="216"/>
      <c r="U27" s="216"/>
      <c r="V27" s="216"/>
      <c r="W27" s="216"/>
      <c r="X27" s="216"/>
      <c r="Y27" s="216"/>
      <c r="Z27" s="217"/>
      <c r="AA27" s="215"/>
      <c r="AB27" s="216"/>
      <c r="AC27" s="216"/>
      <c r="AD27" s="216"/>
      <c r="AE27" s="217"/>
    </row>
    <row r="28" spans="2:31" ht="36" customHeight="1" x14ac:dyDescent="0.15">
      <c r="B28" s="4"/>
      <c r="C28" s="5"/>
      <c r="D28" s="215"/>
      <c r="E28" s="216"/>
      <c r="F28" s="216"/>
      <c r="G28" s="217"/>
      <c r="H28" s="215"/>
      <c r="I28" s="216"/>
      <c r="J28" s="216"/>
      <c r="K28" s="216"/>
      <c r="L28" s="216"/>
      <c r="M28" s="216"/>
      <c r="N28" s="216"/>
      <c r="O28" s="216"/>
      <c r="P28" s="217"/>
      <c r="Q28" s="215"/>
      <c r="R28" s="216"/>
      <c r="S28" s="216"/>
      <c r="T28" s="216"/>
      <c r="U28" s="216"/>
      <c r="V28" s="216"/>
      <c r="W28" s="216"/>
      <c r="X28" s="216"/>
      <c r="Y28" s="216"/>
      <c r="Z28" s="217"/>
      <c r="AA28" s="215"/>
      <c r="AB28" s="216"/>
      <c r="AC28" s="216"/>
      <c r="AD28" s="216"/>
      <c r="AE28" s="217"/>
    </row>
    <row r="29" spans="2:31" ht="36" customHeight="1" x14ac:dyDescent="0.15">
      <c r="B29" s="4"/>
      <c r="C29" s="5"/>
      <c r="D29" s="215"/>
      <c r="E29" s="216"/>
      <c r="F29" s="216"/>
      <c r="G29" s="217"/>
      <c r="H29" s="215"/>
      <c r="I29" s="216"/>
      <c r="J29" s="216"/>
      <c r="K29" s="216"/>
      <c r="L29" s="216"/>
      <c r="M29" s="216"/>
      <c r="N29" s="216"/>
      <c r="O29" s="216"/>
      <c r="P29" s="217"/>
      <c r="Q29" s="215"/>
      <c r="R29" s="216"/>
      <c r="S29" s="216"/>
      <c r="T29" s="216"/>
      <c r="U29" s="216"/>
      <c r="V29" s="216"/>
      <c r="W29" s="216"/>
      <c r="X29" s="216"/>
      <c r="Y29" s="216"/>
      <c r="Z29" s="217"/>
      <c r="AA29" s="215"/>
      <c r="AB29" s="216"/>
      <c r="AC29" s="216"/>
      <c r="AD29" s="216"/>
      <c r="AE29" s="217"/>
    </row>
    <row r="30" spans="2:31" ht="36" customHeight="1" x14ac:dyDescent="0.15">
      <c r="B30" s="4"/>
      <c r="C30" s="5"/>
      <c r="D30" s="215"/>
      <c r="E30" s="216"/>
      <c r="F30" s="216"/>
      <c r="G30" s="217"/>
      <c r="H30" s="215"/>
      <c r="I30" s="216"/>
      <c r="J30" s="216"/>
      <c r="K30" s="216"/>
      <c r="L30" s="216"/>
      <c r="M30" s="216"/>
      <c r="N30" s="216"/>
      <c r="O30" s="216"/>
      <c r="P30" s="217"/>
      <c r="Q30" s="215"/>
      <c r="R30" s="216"/>
      <c r="S30" s="216"/>
      <c r="T30" s="216"/>
      <c r="U30" s="216"/>
      <c r="V30" s="216"/>
      <c r="W30" s="216"/>
      <c r="X30" s="216"/>
      <c r="Y30" s="216"/>
      <c r="Z30" s="217"/>
      <c r="AA30" s="215"/>
      <c r="AB30" s="216"/>
      <c r="AC30" s="216"/>
      <c r="AD30" s="216"/>
      <c r="AE30" s="217"/>
    </row>
    <row r="31" spans="2:31" ht="36" customHeight="1" x14ac:dyDescent="0.15">
      <c r="B31" s="4"/>
      <c r="C31" s="5"/>
      <c r="D31" s="215"/>
      <c r="E31" s="216"/>
      <c r="F31" s="216"/>
      <c r="G31" s="217"/>
      <c r="H31" s="215"/>
      <c r="I31" s="216"/>
      <c r="J31" s="216"/>
      <c r="K31" s="216"/>
      <c r="L31" s="216"/>
      <c r="M31" s="216"/>
      <c r="N31" s="216"/>
      <c r="O31" s="216"/>
      <c r="P31" s="217"/>
      <c r="Q31" s="215"/>
      <c r="R31" s="216"/>
      <c r="S31" s="216"/>
      <c r="T31" s="216"/>
      <c r="U31" s="216"/>
      <c r="V31" s="216"/>
      <c r="W31" s="216"/>
      <c r="X31" s="216"/>
      <c r="Y31" s="216"/>
      <c r="Z31" s="217"/>
      <c r="AA31" s="215"/>
      <c r="AB31" s="216"/>
      <c r="AC31" s="216"/>
      <c r="AD31" s="216"/>
      <c r="AE31" s="217"/>
    </row>
    <row r="32" spans="2:31" ht="15" customHeight="1" x14ac:dyDescent="0.15">
      <c r="B32" s="2"/>
      <c r="C32" s="2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</row>
    <row r="33" spans="2:31" s="50" customFormat="1" ht="14.25" x14ac:dyDescent="0.15">
      <c r="B33" s="104" t="s">
        <v>14</v>
      </c>
      <c r="C33" s="104"/>
      <c r="D33" s="104"/>
      <c r="E33" s="104"/>
      <c r="F33" s="221"/>
      <c r="G33" s="221"/>
      <c r="H33" s="221"/>
      <c r="I33" s="221"/>
      <c r="J33" s="221"/>
      <c r="K33" s="221"/>
      <c r="L33" s="57"/>
      <c r="M33" s="57"/>
      <c r="N33" s="57"/>
      <c r="O33" s="57"/>
      <c r="P33" s="57"/>
      <c r="Q33" s="53"/>
      <c r="S33" s="105" t="s">
        <v>107</v>
      </c>
      <c r="T33" s="105"/>
      <c r="U33" s="105"/>
      <c r="V33" s="105"/>
      <c r="W33" s="105"/>
      <c r="X33" s="105"/>
      <c r="Y33" s="105"/>
      <c r="Z33" s="106"/>
      <c r="AA33" s="106"/>
      <c r="AB33" s="106"/>
      <c r="AC33" s="106"/>
      <c r="AD33" s="106"/>
      <c r="AE33" s="106"/>
    </row>
    <row r="34" spans="2:31" x14ac:dyDescent="0.15">
      <c r="Z34" s="195" t="s">
        <v>16</v>
      </c>
      <c r="AA34" s="195"/>
      <c r="AB34" s="195"/>
      <c r="AC34" s="195"/>
      <c r="AD34" s="195"/>
      <c r="AE34" s="195"/>
    </row>
  </sheetData>
  <sheetProtection formatCells="0" formatColumns="0" formatRows="0"/>
  <mergeCells count="108">
    <mergeCell ref="B33:E33"/>
    <mergeCell ref="F33:K33"/>
    <mergeCell ref="S33:Y33"/>
    <mergeCell ref="Z33:AE33"/>
    <mergeCell ref="Z34:AE34"/>
    <mergeCell ref="D8:G8"/>
    <mergeCell ref="D9:G9"/>
    <mergeCell ref="D10:G10"/>
    <mergeCell ref="D11:G11"/>
    <mergeCell ref="D12:G12"/>
    <mergeCell ref="Q30:Z30"/>
    <mergeCell ref="AA30:AE30"/>
    <mergeCell ref="Q31:Z31"/>
    <mergeCell ref="AA31:AE31"/>
    <mergeCell ref="D30:G30"/>
    <mergeCell ref="D31:G31"/>
    <mergeCell ref="H30:P30"/>
    <mergeCell ref="H31:P31"/>
    <mergeCell ref="Q28:Z28"/>
    <mergeCell ref="AA28:AE28"/>
    <mergeCell ref="Q29:Z29"/>
    <mergeCell ref="AA29:AE29"/>
    <mergeCell ref="D28:G28"/>
    <mergeCell ref="D29:G29"/>
    <mergeCell ref="H28:P28"/>
    <mergeCell ref="H29:P29"/>
    <mergeCell ref="Q26:Z26"/>
    <mergeCell ref="AA26:AE26"/>
    <mergeCell ref="Q27:Z27"/>
    <mergeCell ref="AA27:AE27"/>
    <mergeCell ref="D26:G26"/>
    <mergeCell ref="D27:G27"/>
    <mergeCell ref="H26:P26"/>
    <mergeCell ref="H27:P27"/>
    <mergeCell ref="Q24:Z24"/>
    <mergeCell ref="AA24:AE24"/>
    <mergeCell ref="Q25:Z25"/>
    <mergeCell ref="AA25:AE25"/>
    <mergeCell ref="D24:G24"/>
    <mergeCell ref="D25:G25"/>
    <mergeCell ref="H24:P24"/>
    <mergeCell ref="H25:P25"/>
    <mergeCell ref="Q22:Z22"/>
    <mergeCell ref="AA22:AE22"/>
    <mergeCell ref="Q23:Z23"/>
    <mergeCell ref="AA23:AE23"/>
    <mergeCell ref="D22:G22"/>
    <mergeCell ref="D23:G23"/>
    <mergeCell ref="H22:P22"/>
    <mergeCell ref="H23:P23"/>
    <mergeCell ref="Q20:Z20"/>
    <mergeCell ref="AA20:AE20"/>
    <mergeCell ref="Q21:Z21"/>
    <mergeCell ref="AA21:AE21"/>
    <mergeCell ref="D20:G20"/>
    <mergeCell ref="D21:G21"/>
    <mergeCell ref="H20:P20"/>
    <mergeCell ref="H21:P21"/>
    <mergeCell ref="Q18:Z18"/>
    <mergeCell ref="AA18:AE18"/>
    <mergeCell ref="Q19:Z19"/>
    <mergeCell ref="AA19:AE19"/>
    <mergeCell ref="D18:G18"/>
    <mergeCell ref="D19:G19"/>
    <mergeCell ref="H18:P18"/>
    <mergeCell ref="H19:P19"/>
    <mergeCell ref="Q16:Z16"/>
    <mergeCell ref="AA16:AE16"/>
    <mergeCell ref="Q17:Z17"/>
    <mergeCell ref="AA17:AE17"/>
    <mergeCell ref="D16:G16"/>
    <mergeCell ref="D17:G17"/>
    <mergeCell ref="H16:P16"/>
    <mergeCell ref="H17:P17"/>
    <mergeCell ref="Q15:Z15"/>
    <mergeCell ref="AA15:AE15"/>
    <mergeCell ref="D15:G15"/>
    <mergeCell ref="H15:P15"/>
    <mergeCell ref="Q14:Z14"/>
    <mergeCell ref="AA14:AE14"/>
    <mergeCell ref="D14:G14"/>
    <mergeCell ref="H14:P14"/>
    <mergeCell ref="Q12:Z12"/>
    <mergeCell ref="AA12:AE12"/>
    <mergeCell ref="Q13:Z13"/>
    <mergeCell ref="AA13:AE13"/>
    <mergeCell ref="D13:G13"/>
    <mergeCell ref="H12:P12"/>
    <mergeCell ref="H13:P13"/>
    <mergeCell ref="B2:AF2"/>
    <mergeCell ref="B3:AE3"/>
    <mergeCell ref="B4:J4"/>
    <mergeCell ref="K4:AE4"/>
    <mergeCell ref="B5:J5"/>
    <mergeCell ref="B6:M6"/>
    <mergeCell ref="Q10:Z10"/>
    <mergeCell ref="AA10:AE10"/>
    <mergeCell ref="Q11:Z11"/>
    <mergeCell ref="AA11:AE11"/>
    <mergeCell ref="H10:P10"/>
    <mergeCell ref="H11:P11"/>
    <mergeCell ref="B8:C8"/>
    <mergeCell ref="Q8:Z8"/>
    <mergeCell ref="AA8:AE8"/>
    <mergeCell ref="Q9:Z9"/>
    <mergeCell ref="AA9:AE9"/>
    <mergeCell ref="H8:P8"/>
    <mergeCell ref="H9:P9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1"/>
  <dimension ref="B1:AF32"/>
  <sheetViews>
    <sheetView view="pageBreakPreview" zoomScale="80" zoomScaleNormal="100" zoomScaleSheetLayoutView="80" workbookViewId="0">
      <selection activeCell="AA8" sqref="AA8:AE8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19" width="2.41796875" style="1" customWidth="1"/>
    <col min="20" max="21" width="3.09375" style="1" customWidth="1"/>
    <col min="22" max="26" width="2.4179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2:32" ht="28.35" customHeight="1" x14ac:dyDescent="0.15"/>
    <row r="2" spans="2:32" ht="18" x14ac:dyDescent="0.2">
      <c r="B2" s="189" t="s">
        <v>91</v>
      </c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</row>
    <row r="3" spans="2:32" ht="20.25" customHeight="1" x14ac:dyDescent="0.15">
      <c r="B3" s="190" t="s">
        <v>64</v>
      </c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0"/>
    </row>
    <row r="4" spans="2:32" s="50" customFormat="1" ht="45.6" customHeight="1" x14ac:dyDescent="0.15">
      <c r="B4" s="96" t="s">
        <v>3</v>
      </c>
      <c r="C4" s="96"/>
      <c r="D4" s="96"/>
      <c r="E4" s="96"/>
      <c r="F4" s="96"/>
      <c r="G4" s="96"/>
      <c r="H4" s="96"/>
      <c r="I4" s="96"/>
      <c r="J4" s="96"/>
      <c r="K4" s="97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6"/>
    </row>
    <row r="5" spans="2:32" s="50" customFormat="1" ht="24.75" customHeight="1" x14ac:dyDescent="0.15">
      <c r="B5" s="96" t="s">
        <v>6</v>
      </c>
      <c r="C5" s="96"/>
      <c r="D5" s="96"/>
      <c r="E5" s="96"/>
      <c r="F5" s="96"/>
      <c r="G5" s="96"/>
      <c r="H5" s="96"/>
      <c r="I5" s="96"/>
      <c r="J5" s="96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2:32" s="50" customFormat="1" ht="21.75" customHeight="1" x14ac:dyDescent="0.15">
      <c r="B6" s="123" t="s">
        <v>106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2:32" ht="12" customHeight="1" x14ac:dyDescent="0.15"/>
    <row r="8" spans="2:32" ht="60.75" customHeight="1" x14ac:dyDescent="0.15">
      <c r="B8" s="192" t="s">
        <v>9</v>
      </c>
      <c r="C8" s="192"/>
      <c r="D8" s="222" t="s">
        <v>61</v>
      </c>
      <c r="E8" s="223"/>
      <c r="F8" s="223"/>
      <c r="G8" s="224"/>
      <c r="H8" s="218" t="s">
        <v>65</v>
      </c>
      <c r="I8" s="219"/>
      <c r="J8" s="219"/>
      <c r="K8" s="219"/>
      <c r="L8" s="219"/>
      <c r="M8" s="219"/>
      <c r="N8" s="219"/>
      <c r="O8" s="219"/>
      <c r="P8" s="220"/>
      <c r="Q8" s="218" t="s">
        <v>66</v>
      </c>
      <c r="R8" s="219"/>
      <c r="S8" s="219"/>
      <c r="T8" s="219"/>
      <c r="U8" s="219"/>
      <c r="V8" s="219"/>
      <c r="W8" s="219"/>
      <c r="X8" s="219"/>
      <c r="Y8" s="219"/>
      <c r="Z8" s="220"/>
      <c r="AA8" s="218" t="s">
        <v>12</v>
      </c>
      <c r="AB8" s="219"/>
      <c r="AC8" s="219"/>
      <c r="AD8" s="219"/>
      <c r="AE8" s="220"/>
    </row>
    <row r="9" spans="2:32" ht="18.75" customHeight="1" x14ac:dyDescent="0.15">
      <c r="B9" s="4"/>
      <c r="C9" s="5"/>
      <c r="D9" s="215"/>
      <c r="E9" s="216"/>
      <c r="F9" s="216"/>
      <c r="G9" s="217"/>
      <c r="H9" s="215"/>
      <c r="I9" s="216"/>
      <c r="J9" s="216"/>
      <c r="K9" s="216"/>
      <c r="L9" s="216"/>
      <c r="M9" s="216"/>
      <c r="N9" s="216"/>
      <c r="O9" s="216"/>
      <c r="P9" s="217"/>
      <c r="Q9" s="215"/>
      <c r="R9" s="216"/>
      <c r="S9" s="216"/>
      <c r="T9" s="216"/>
      <c r="U9" s="216"/>
      <c r="V9" s="216"/>
      <c r="W9" s="216"/>
      <c r="X9" s="216"/>
      <c r="Y9" s="216"/>
      <c r="Z9" s="217"/>
      <c r="AA9" s="215"/>
      <c r="AB9" s="216"/>
      <c r="AC9" s="216"/>
      <c r="AD9" s="216"/>
      <c r="AE9" s="217"/>
    </row>
    <row r="10" spans="2:32" ht="18.75" customHeight="1" x14ac:dyDescent="0.15">
      <c r="B10" s="4"/>
      <c r="C10" s="5"/>
      <c r="D10" s="215"/>
      <c r="E10" s="216"/>
      <c r="F10" s="216"/>
      <c r="G10" s="217"/>
      <c r="H10" s="215"/>
      <c r="I10" s="216"/>
      <c r="J10" s="216"/>
      <c r="K10" s="216"/>
      <c r="L10" s="216"/>
      <c r="M10" s="216"/>
      <c r="N10" s="216"/>
      <c r="O10" s="216"/>
      <c r="P10" s="217"/>
      <c r="Q10" s="215"/>
      <c r="R10" s="216"/>
      <c r="S10" s="216"/>
      <c r="T10" s="216"/>
      <c r="U10" s="216"/>
      <c r="V10" s="216"/>
      <c r="W10" s="216"/>
      <c r="X10" s="216"/>
      <c r="Y10" s="216"/>
      <c r="Z10" s="217"/>
      <c r="AA10" s="215"/>
      <c r="AB10" s="216"/>
      <c r="AC10" s="216"/>
      <c r="AD10" s="216"/>
      <c r="AE10" s="217"/>
    </row>
    <row r="11" spans="2:32" ht="18.75" customHeight="1" x14ac:dyDescent="0.15">
      <c r="B11" s="4"/>
      <c r="C11" s="5"/>
      <c r="D11" s="215"/>
      <c r="E11" s="216"/>
      <c r="F11" s="216"/>
      <c r="G11" s="217"/>
      <c r="H11" s="215"/>
      <c r="I11" s="216"/>
      <c r="J11" s="216"/>
      <c r="K11" s="216"/>
      <c r="L11" s="216"/>
      <c r="M11" s="216"/>
      <c r="N11" s="216"/>
      <c r="O11" s="216"/>
      <c r="P11" s="217"/>
      <c r="Q11" s="215"/>
      <c r="R11" s="216"/>
      <c r="S11" s="216"/>
      <c r="T11" s="216"/>
      <c r="U11" s="216"/>
      <c r="V11" s="216"/>
      <c r="W11" s="216"/>
      <c r="X11" s="216"/>
      <c r="Y11" s="216"/>
      <c r="Z11" s="217"/>
      <c r="AA11" s="215"/>
      <c r="AB11" s="216"/>
      <c r="AC11" s="216"/>
      <c r="AD11" s="216"/>
      <c r="AE11" s="217"/>
    </row>
    <row r="12" spans="2:32" ht="18.75" customHeight="1" x14ac:dyDescent="0.15">
      <c r="B12" s="4"/>
      <c r="C12" s="5"/>
      <c r="D12" s="215"/>
      <c r="E12" s="216"/>
      <c r="F12" s="216"/>
      <c r="G12" s="217"/>
      <c r="H12" s="215"/>
      <c r="I12" s="216"/>
      <c r="J12" s="216"/>
      <c r="K12" s="216"/>
      <c r="L12" s="216"/>
      <c r="M12" s="216"/>
      <c r="N12" s="216"/>
      <c r="O12" s="216"/>
      <c r="P12" s="217"/>
      <c r="Q12" s="215"/>
      <c r="R12" s="216"/>
      <c r="S12" s="216"/>
      <c r="T12" s="216"/>
      <c r="U12" s="216"/>
      <c r="V12" s="216"/>
      <c r="W12" s="216"/>
      <c r="X12" s="216"/>
      <c r="Y12" s="216"/>
      <c r="Z12" s="217"/>
      <c r="AA12" s="215"/>
      <c r="AB12" s="216"/>
      <c r="AC12" s="216"/>
      <c r="AD12" s="216"/>
      <c r="AE12" s="217"/>
    </row>
    <row r="13" spans="2:32" ht="18.75" customHeight="1" x14ac:dyDescent="0.15">
      <c r="B13" s="4"/>
      <c r="C13" s="5"/>
      <c r="D13" s="215"/>
      <c r="E13" s="216"/>
      <c r="F13" s="216"/>
      <c r="G13" s="217"/>
      <c r="H13" s="215"/>
      <c r="I13" s="216"/>
      <c r="J13" s="216"/>
      <c r="K13" s="216"/>
      <c r="L13" s="216"/>
      <c r="M13" s="216"/>
      <c r="N13" s="216"/>
      <c r="O13" s="216"/>
      <c r="P13" s="217"/>
      <c r="Q13" s="215"/>
      <c r="R13" s="216"/>
      <c r="S13" s="216"/>
      <c r="T13" s="216"/>
      <c r="U13" s="216"/>
      <c r="V13" s="216"/>
      <c r="W13" s="216"/>
      <c r="X13" s="216"/>
      <c r="Y13" s="216"/>
      <c r="Z13" s="217"/>
      <c r="AA13" s="215"/>
      <c r="AB13" s="216"/>
      <c r="AC13" s="216"/>
      <c r="AD13" s="216"/>
      <c r="AE13" s="217"/>
    </row>
    <row r="14" spans="2:32" ht="18.75" customHeight="1" x14ac:dyDescent="0.15">
      <c r="B14" s="4"/>
      <c r="C14" s="5"/>
      <c r="D14" s="215"/>
      <c r="E14" s="216"/>
      <c r="F14" s="216"/>
      <c r="G14" s="217"/>
      <c r="H14" s="215"/>
      <c r="I14" s="216"/>
      <c r="J14" s="216"/>
      <c r="K14" s="216"/>
      <c r="L14" s="216"/>
      <c r="M14" s="216"/>
      <c r="N14" s="216"/>
      <c r="O14" s="216"/>
      <c r="P14" s="217"/>
      <c r="Q14" s="215"/>
      <c r="R14" s="216"/>
      <c r="S14" s="216"/>
      <c r="T14" s="216"/>
      <c r="U14" s="216"/>
      <c r="V14" s="216"/>
      <c r="W14" s="216"/>
      <c r="X14" s="216"/>
      <c r="Y14" s="216"/>
      <c r="Z14" s="217"/>
      <c r="AA14" s="215"/>
      <c r="AB14" s="216"/>
      <c r="AC14" s="216"/>
      <c r="AD14" s="216"/>
      <c r="AE14" s="217"/>
    </row>
    <row r="15" spans="2:32" ht="18.75" customHeight="1" x14ac:dyDescent="0.15">
      <c r="B15" s="4"/>
      <c r="C15" s="5"/>
      <c r="D15" s="215"/>
      <c r="E15" s="216"/>
      <c r="F15" s="216"/>
      <c r="G15" s="217"/>
      <c r="H15" s="215"/>
      <c r="I15" s="216"/>
      <c r="J15" s="216"/>
      <c r="K15" s="216"/>
      <c r="L15" s="216"/>
      <c r="M15" s="216"/>
      <c r="N15" s="216"/>
      <c r="O15" s="216"/>
      <c r="P15" s="217"/>
      <c r="Q15" s="215"/>
      <c r="R15" s="216"/>
      <c r="S15" s="216"/>
      <c r="T15" s="216"/>
      <c r="U15" s="216"/>
      <c r="V15" s="216"/>
      <c r="W15" s="216"/>
      <c r="X15" s="216"/>
      <c r="Y15" s="216"/>
      <c r="Z15" s="217"/>
      <c r="AA15" s="215"/>
      <c r="AB15" s="216"/>
      <c r="AC15" s="216"/>
      <c r="AD15" s="216"/>
      <c r="AE15" s="217"/>
    </row>
    <row r="16" spans="2:32" ht="18.75" customHeight="1" x14ac:dyDescent="0.15">
      <c r="B16" s="4"/>
      <c r="C16" s="5"/>
      <c r="D16" s="215"/>
      <c r="E16" s="216"/>
      <c r="F16" s="216"/>
      <c r="G16" s="217"/>
      <c r="H16" s="215"/>
      <c r="I16" s="216"/>
      <c r="J16" s="216"/>
      <c r="K16" s="216"/>
      <c r="L16" s="216"/>
      <c r="M16" s="216"/>
      <c r="N16" s="216"/>
      <c r="O16" s="216"/>
      <c r="P16" s="217"/>
      <c r="Q16" s="215"/>
      <c r="R16" s="216"/>
      <c r="S16" s="216"/>
      <c r="T16" s="216"/>
      <c r="U16" s="216"/>
      <c r="V16" s="216"/>
      <c r="W16" s="216"/>
      <c r="X16" s="216"/>
      <c r="Y16" s="216"/>
      <c r="Z16" s="217"/>
      <c r="AA16" s="215"/>
      <c r="AB16" s="216"/>
      <c r="AC16" s="216"/>
      <c r="AD16" s="216"/>
      <c r="AE16" s="217"/>
    </row>
    <row r="17" spans="2:31" ht="18.75" customHeight="1" x14ac:dyDescent="0.15">
      <c r="B17" s="4"/>
      <c r="C17" s="5"/>
      <c r="D17" s="215"/>
      <c r="E17" s="216"/>
      <c r="F17" s="216"/>
      <c r="G17" s="217"/>
      <c r="H17" s="215"/>
      <c r="I17" s="216"/>
      <c r="J17" s="216"/>
      <c r="K17" s="216"/>
      <c r="L17" s="216"/>
      <c r="M17" s="216"/>
      <c r="N17" s="216"/>
      <c r="O17" s="216"/>
      <c r="P17" s="217"/>
      <c r="Q17" s="215"/>
      <c r="R17" s="216"/>
      <c r="S17" s="216"/>
      <c r="T17" s="216"/>
      <c r="U17" s="216"/>
      <c r="V17" s="216"/>
      <c r="W17" s="216"/>
      <c r="X17" s="216"/>
      <c r="Y17" s="216"/>
      <c r="Z17" s="217"/>
      <c r="AA17" s="215"/>
      <c r="AB17" s="216"/>
      <c r="AC17" s="216"/>
      <c r="AD17" s="216"/>
      <c r="AE17" s="217"/>
    </row>
    <row r="18" spans="2:31" ht="18.75" customHeight="1" x14ac:dyDescent="0.15">
      <c r="B18" s="4"/>
      <c r="C18" s="5"/>
      <c r="D18" s="215"/>
      <c r="E18" s="216"/>
      <c r="F18" s="216"/>
      <c r="G18" s="217"/>
      <c r="H18" s="215"/>
      <c r="I18" s="216"/>
      <c r="J18" s="216"/>
      <c r="K18" s="216"/>
      <c r="L18" s="216"/>
      <c r="M18" s="216"/>
      <c r="N18" s="216"/>
      <c r="O18" s="216"/>
      <c r="P18" s="217"/>
      <c r="Q18" s="215"/>
      <c r="R18" s="216"/>
      <c r="S18" s="216"/>
      <c r="T18" s="216"/>
      <c r="U18" s="216"/>
      <c r="V18" s="216"/>
      <c r="W18" s="216"/>
      <c r="X18" s="216"/>
      <c r="Y18" s="216"/>
      <c r="Z18" s="217"/>
      <c r="AA18" s="215"/>
      <c r="AB18" s="216"/>
      <c r="AC18" s="216"/>
      <c r="AD18" s="216"/>
      <c r="AE18" s="217"/>
    </row>
    <row r="19" spans="2:31" ht="18.75" customHeight="1" x14ac:dyDescent="0.15">
      <c r="B19" s="4"/>
      <c r="C19" s="5"/>
      <c r="D19" s="215"/>
      <c r="E19" s="216"/>
      <c r="F19" s="216"/>
      <c r="G19" s="217"/>
      <c r="H19" s="215"/>
      <c r="I19" s="216"/>
      <c r="J19" s="216"/>
      <c r="K19" s="216"/>
      <c r="L19" s="216"/>
      <c r="M19" s="216"/>
      <c r="N19" s="216"/>
      <c r="O19" s="216"/>
      <c r="P19" s="217"/>
      <c r="Q19" s="215"/>
      <c r="R19" s="216"/>
      <c r="S19" s="216"/>
      <c r="T19" s="216"/>
      <c r="U19" s="216"/>
      <c r="V19" s="216"/>
      <c r="W19" s="216"/>
      <c r="X19" s="216"/>
      <c r="Y19" s="216"/>
      <c r="Z19" s="217"/>
      <c r="AA19" s="215"/>
      <c r="AB19" s="216"/>
      <c r="AC19" s="216"/>
      <c r="AD19" s="216"/>
      <c r="AE19" s="217"/>
    </row>
    <row r="20" spans="2:31" ht="18.75" customHeight="1" x14ac:dyDescent="0.15">
      <c r="B20" s="4"/>
      <c r="C20" s="5"/>
      <c r="D20" s="215"/>
      <c r="E20" s="216"/>
      <c r="F20" s="216"/>
      <c r="G20" s="217"/>
      <c r="H20" s="215"/>
      <c r="I20" s="216"/>
      <c r="J20" s="216"/>
      <c r="K20" s="216"/>
      <c r="L20" s="216"/>
      <c r="M20" s="216"/>
      <c r="N20" s="216"/>
      <c r="O20" s="216"/>
      <c r="P20" s="217"/>
      <c r="Q20" s="215"/>
      <c r="R20" s="216"/>
      <c r="S20" s="216"/>
      <c r="T20" s="216"/>
      <c r="U20" s="216"/>
      <c r="V20" s="216"/>
      <c r="W20" s="216"/>
      <c r="X20" s="216"/>
      <c r="Y20" s="216"/>
      <c r="Z20" s="217"/>
      <c r="AA20" s="215"/>
      <c r="AB20" s="216"/>
      <c r="AC20" s="216"/>
      <c r="AD20" s="216"/>
      <c r="AE20" s="217"/>
    </row>
    <row r="21" spans="2:31" ht="18.75" customHeight="1" x14ac:dyDescent="0.15">
      <c r="B21" s="4"/>
      <c r="C21" s="5"/>
      <c r="D21" s="215"/>
      <c r="E21" s="216"/>
      <c r="F21" s="216"/>
      <c r="G21" s="217"/>
      <c r="H21" s="215"/>
      <c r="I21" s="216"/>
      <c r="J21" s="216"/>
      <c r="K21" s="216"/>
      <c r="L21" s="216"/>
      <c r="M21" s="216"/>
      <c r="N21" s="216"/>
      <c r="O21" s="216"/>
      <c r="P21" s="217"/>
      <c r="Q21" s="215"/>
      <c r="R21" s="216"/>
      <c r="S21" s="216"/>
      <c r="T21" s="216"/>
      <c r="U21" s="216"/>
      <c r="V21" s="216"/>
      <c r="W21" s="216"/>
      <c r="X21" s="216"/>
      <c r="Y21" s="216"/>
      <c r="Z21" s="217"/>
      <c r="AA21" s="215"/>
      <c r="AB21" s="216"/>
      <c r="AC21" s="216"/>
      <c r="AD21" s="216"/>
      <c r="AE21" s="217"/>
    </row>
    <row r="22" spans="2:31" ht="18.75" customHeight="1" x14ac:dyDescent="0.15">
      <c r="B22" s="4"/>
      <c r="C22" s="5"/>
      <c r="D22" s="215"/>
      <c r="E22" s="216"/>
      <c r="F22" s="216"/>
      <c r="G22" s="217"/>
      <c r="H22" s="215"/>
      <c r="I22" s="216"/>
      <c r="J22" s="216"/>
      <c r="K22" s="216"/>
      <c r="L22" s="216"/>
      <c r="M22" s="216"/>
      <c r="N22" s="216"/>
      <c r="O22" s="216"/>
      <c r="P22" s="217"/>
      <c r="Q22" s="215"/>
      <c r="R22" s="216"/>
      <c r="S22" s="216"/>
      <c r="T22" s="216"/>
      <c r="U22" s="216"/>
      <c r="V22" s="216"/>
      <c r="W22" s="216"/>
      <c r="X22" s="216"/>
      <c r="Y22" s="216"/>
      <c r="Z22" s="217"/>
      <c r="AA22" s="215"/>
      <c r="AB22" s="216"/>
      <c r="AC22" s="216"/>
      <c r="AD22" s="216"/>
      <c r="AE22" s="217"/>
    </row>
    <row r="23" spans="2:31" ht="18.75" customHeight="1" x14ac:dyDescent="0.15">
      <c r="B23" s="4"/>
      <c r="C23" s="5"/>
      <c r="D23" s="215"/>
      <c r="E23" s="216"/>
      <c r="F23" s="216"/>
      <c r="G23" s="217"/>
      <c r="H23" s="215"/>
      <c r="I23" s="216"/>
      <c r="J23" s="216"/>
      <c r="K23" s="216"/>
      <c r="L23" s="216"/>
      <c r="M23" s="216"/>
      <c r="N23" s="216"/>
      <c r="O23" s="216"/>
      <c r="P23" s="217"/>
      <c r="Q23" s="215"/>
      <c r="R23" s="216"/>
      <c r="S23" s="216"/>
      <c r="T23" s="216"/>
      <c r="U23" s="216"/>
      <c r="V23" s="216"/>
      <c r="W23" s="216"/>
      <c r="X23" s="216"/>
      <c r="Y23" s="216"/>
      <c r="Z23" s="217"/>
      <c r="AA23" s="215"/>
      <c r="AB23" s="216"/>
      <c r="AC23" s="216"/>
      <c r="AD23" s="216"/>
      <c r="AE23" s="217"/>
    </row>
    <row r="24" spans="2:31" ht="18.75" customHeight="1" x14ac:dyDescent="0.15">
      <c r="B24" s="4"/>
      <c r="C24" s="5"/>
      <c r="D24" s="215"/>
      <c r="E24" s="216"/>
      <c r="F24" s="216"/>
      <c r="G24" s="217"/>
      <c r="H24" s="215"/>
      <c r="I24" s="216"/>
      <c r="J24" s="216"/>
      <c r="K24" s="216"/>
      <c r="L24" s="216"/>
      <c r="M24" s="216"/>
      <c r="N24" s="216"/>
      <c r="O24" s="216"/>
      <c r="P24" s="217"/>
      <c r="Q24" s="215"/>
      <c r="R24" s="216"/>
      <c r="S24" s="216"/>
      <c r="T24" s="216"/>
      <c r="U24" s="216"/>
      <c r="V24" s="216"/>
      <c r="W24" s="216"/>
      <c r="X24" s="216"/>
      <c r="Y24" s="216"/>
      <c r="Z24" s="217"/>
      <c r="AA24" s="215"/>
      <c r="AB24" s="216"/>
      <c r="AC24" s="216"/>
      <c r="AD24" s="216"/>
      <c r="AE24" s="217"/>
    </row>
    <row r="25" spans="2:31" ht="18.75" customHeight="1" x14ac:dyDescent="0.15">
      <c r="B25" s="4"/>
      <c r="C25" s="5"/>
      <c r="D25" s="215"/>
      <c r="E25" s="216"/>
      <c r="F25" s="216"/>
      <c r="G25" s="217"/>
      <c r="H25" s="215"/>
      <c r="I25" s="216"/>
      <c r="J25" s="216"/>
      <c r="K25" s="216"/>
      <c r="L25" s="216"/>
      <c r="M25" s="216"/>
      <c r="N25" s="216"/>
      <c r="O25" s="216"/>
      <c r="P25" s="217"/>
      <c r="Q25" s="215"/>
      <c r="R25" s="216"/>
      <c r="S25" s="216"/>
      <c r="T25" s="216"/>
      <c r="U25" s="216"/>
      <c r="V25" s="216"/>
      <c r="W25" s="216"/>
      <c r="X25" s="216"/>
      <c r="Y25" s="216"/>
      <c r="Z25" s="217"/>
      <c r="AA25" s="215"/>
      <c r="AB25" s="216"/>
      <c r="AC25" s="216"/>
      <c r="AD25" s="216"/>
      <c r="AE25" s="217"/>
    </row>
    <row r="26" spans="2:31" ht="18.75" customHeight="1" x14ac:dyDescent="0.15">
      <c r="B26" s="4"/>
      <c r="C26" s="5"/>
      <c r="D26" s="215"/>
      <c r="E26" s="216"/>
      <c r="F26" s="216"/>
      <c r="G26" s="217"/>
      <c r="H26" s="215"/>
      <c r="I26" s="216"/>
      <c r="J26" s="216"/>
      <c r="K26" s="216"/>
      <c r="L26" s="216"/>
      <c r="M26" s="216"/>
      <c r="N26" s="216"/>
      <c r="O26" s="216"/>
      <c r="P26" s="217"/>
      <c r="Q26" s="215"/>
      <c r="R26" s="216"/>
      <c r="S26" s="216"/>
      <c r="T26" s="216"/>
      <c r="U26" s="216"/>
      <c r="V26" s="216"/>
      <c r="W26" s="216"/>
      <c r="X26" s="216"/>
      <c r="Y26" s="216"/>
      <c r="Z26" s="217"/>
      <c r="AA26" s="215"/>
      <c r="AB26" s="216"/>
      <c r="AC26" s="216"/>
      <c r="AD26" s="216"/>
      <c r="AE26" s="217"/>
    </row>
    <row r="27" spans="2:31" ht="18.75" customHeight="1" x14ac:dyDescent="0.15">
      <c r="B27" s="4"/>
      <c r="C27" s="5"/>
      <c r="D27" s="215"/>
      <c r="E27" s="216"/>
      <c r="F27" s="216"/>
      <c r="G27" s="217"/>
      <c r="H27" s="215"/>
      <c r="I27" s="216"/>
      <c r="J27" s="216"/>
      <c r="K27" s="216"/>
      <c r="L27" s="216"/>
      <c r="M27" s="216"/>
      <c r="N27" s="216"/>
      <c r="O27" s="216"/>
      <c r="P27" s="217"/>
      <c r="Q27" s="215"/>
      <c r="R27" s="216"/>
      <c r="S27" s="216"/>
      <c r="T27" s="216"/>
      <c r="U27" s="216"/>
      <c r="V27" s="216"/>
      <c r="W27" s="216"/>
      <c r="X27" s="216"/>
      <c r="Y27" s="216"/>
      <c r="Z27" s="217"/>
      <c r="AA27" s="215"/>
      <c r="AB27" s="216"/>
      <c r="AC27" s="216"/>
      <c r="AD27" s="216"/>
      <c r="AE27" s="217"/>
    </row>
    <row r="28" spans="2:31" ht="18.75" customHeight="1" x14ac:dyDescent="0.15">
      <c r="B28" s="4"/>
      <c r="C28" s="5"/>
      <c r="D28" s="215"/>
      <c r="E28" s="216"/>
      <c r="F28" s="216"/>
      <c r="G28" s="217"/>
      <c r="H28" s="215"/>
      <c r="I28" s="216"/>
      <c r="J28" s="216"/>
      <c r="K28" s="216"/>
      <c r="L28" s="216"/>
      <c r="M28" s="216"/>
      <c r="N28" s="216"/>
      <c r="O28" s="216"/>
      <c r="P28" s="217"/>
      <c r="Q28" s="215"/>
      <c r="R28" s="216"/>
      <c r="S28" s="216"/>
      <c r="T28" s="216"/>
      <c r="U28" s="216"/>
      <c r="V28" s="216"/>
      <c r="W28" s="216"/>
      <c r="X28" s="216"/>
      <c r="Y28" s="216"/>
      <c r="Z28" s="217"/>
      <c r="AA28" s="215"/>
      <c r="AB28" s="216"/>
      <c r="AC28" s="216"/>
      <c r="AD28" s="216"/>
      <c r="AE28" s="217"/>
    </row>
    <row r="29" spans="2:31" ht="18.75" customHeight="1" x14ac:dyDescent="0.15">
      <c r="B29" s="4"/>
      <c r="C29" s="5"/>
      <c r="D29" s="215"/>
      <c r="E29" s="216"/>
      <c r="F29" s="216"/>
      <c r="G29" s="217"/>
      <c r="H29" s="215"/>
      <c r="I29" s="216"/>
      <c r="J29" s="216"/>
      <c r="K29" s="216"/>
      <c r="L29" s="216"/>
      <c r="M29" s="216"/>
      <c r="N29" s="216"/>
      <c r="O29" s="216"/>
      <c r="P29" s="217"/>
      <c r="Q29" s="215"/>
      <c r="R29" s="216"/>
      <c r="S29" s="216"/>
      <c r="T29" s="216"/>
      <c r="U29" s="216"/>
      <c r="V29" s="216"/>
      <c r="W29" s="216"/>
      <c r="X29" s="216"/>
      <c r="Y29" s="216"/>
      <c r="Z29" s="217"/>
      <c r="AA29" s="215"/>
      <c r="AB29" s="216"/>
      <c r="AC29" s="216"/>
      <c r="AD29" s="216"/>
      <c r="AE29" s="217"/>
    </row>
    <row r="30" spans="2:31" ht="15" customHeight="1" x14ac:dyDescent="0.15">
      <c r="B30" s="2"/>
      <c r="C30" s="2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</row>
    <row r="31" spans="2:31" ht="14.25" x14ac:dyDescent="0.15">
      <c r="B31" s="225" t="s">
        <v>14</v>
      </c>
      <c r="C31" s="225"/>
      <c r="D31" s="225"/>
      <c r="E31" s="225"/>
      <c r="F31" s="226"/>
      <c r="G31" s="226"/>
      <c r="H31" s="226"/>
      <c r="I31" s="226"/>
      <c r="J31" s="226"/>
      <c r="K31" s="226"/>
      <c r="L31" s="9"/>
      <c r="M31" s="9"/>
      <c r="N31" s="9"/>
      <c r="O31" s="9"/>
      <c r="P31" s="9"/>
      <c r="Q31" s="2"/>
      <c r="S31" s="105" t="s">
        <v>107</v>
      </c>
      <c r="T31" s="105"/>
      <c r="U31" s="105"/>
      <c r="V31" s="105"/>
      <c r="W31" s="105"/>
      <c r="X31" s="105"/>
      <c r="Y31" s="105"/>
      <c r="Z31" s="227"/>
      <c r="AA31" s="227"/>
      <c r="AB31" s="227"/>
      <c r="AC31" s="227"/>
      <c r="AD31" s="227"/>
      <c r="AE31" s="227"/>
    </row>
    <row r="32" spans="2:31" x14ac:dyDescent="0.15">
      <c r="Z32" s="195" t="s">
        <v>16</v>
      </c>
      <c r="AA32" s="195"/>
      <c r="AB32" s="195"/>
      <c r="AC32" s="195"/>
      <c r="AD32" s="195"/>
      <c r="AE32" s="195"/>
    </row>
  </sheetData>
  <sheetProtection formatCells="0" formatColumns="0" formatRows="0"/>
  <mergeCells count="100">
    <mergeCell ref="B31:E31"/>
    <mergeCell ref="F31:K31"/>
    <mergeCell ref="S31:Y31"/>
    <mergeCell ref="Z31:AE31"/>
    <mergeCell ref="Z32:AE32"/>
    <mergeCell ref="D28:G28"/>
    <mergeCell ref="H28:P28"/>
    <mergeCell ref="Q28:Z28"/>
    <mergeCell ref="AA28:AE28"/>
    <mergeCell ref="D29:G29"/>
    <mergeCell ref="H29:P29"/>
    <mergeCell ref="Q29:Z29"/>
    <mergeCell ref="AA29:AE29"/>
    <mergeCell ref="D26:G26"/>
    <mergeCell ref="H26:P26"/>
    <mergeCell ref="Q26:Z26"/>
    <mergeCell ref="AA26:AE26"/>
    <mergeCell ref="D27:G27"/>
    <mergeCell ref="H27:P27"/>
    <mergeCell ref="Q27:Z27"/>
    <mergeCell ref="AA27:AE27"/>
    <mergeCell ref="D24:G24"/>
    <mergeCell ref="H24:P24"/>
    <mergeCell ref="Q24:Z24"/>
    <mergeCell ref="AA24:AE24"/>
    <mergeCell ref="D25:G25"/>
    <mergeCell ref="H25:P25"/>
    <mergeCell ref="Q25:Z25"/>
    <mergeCell ref="AA25:AE25"/>
    <mergeCell ref="D22:G22"/>
    <mergeCell ref="H22:P22"/>
    <mergeCell ref="Q22:Z22"/>
    <mergeCell ref="AA22:AE22"/>
    <mergeCell ref="D23:G23"/>
    <mergeCell ref="H23:P23"/>
    <mergeCell ref="Q23:Z23"/>
    <mergeCell ref="AA23:AE23"/>
    <mergeCell ref="D20:G20"/>
    <mergeCell ref="H20:P20"/>
    <mergeCell ref="Q20:Z20"/>
    <mergeCell ref="AA20:AE20"/>
    <mergeCell ref="D21:G21"/>
    <mergeCell ref="H21:P21"/>
    <mergeCell ref="Q21:Z21"/>
    <mergeCell ref="AA21:AE21"/>
    <mergeCell ref="D18:G18"/>
    <mergeCell ref="H18:P18"/>
    <mergeCell ref="Q18:Z18"/>
    <mergeCell ref="AA18:AE18"/>
    <mergeCell ref="D19:G19"/>
    <mergeCell ref="H19:P19"/>
    <mergeCell ref="Q19:Z19"/>
    <mergeCell ref="AA19:AE19"/>
    <mergeCell ref="D17:G17"/>
    <mergeCell ref="H17:P17"/>
    <mergeCell ref="Q17:Z17"/>
    <mergeCell ref="AA17:AE17"/>
    <mergeCell ref="D16:G16"/>
    <mergeCell ref="H16:P16"/>
    <mergeCell ref="Q16:Z16"/>
    <mergeCell ref="AA16:AE16"/>
    <mergeCell ref="D14:G14"/>
    <mergeCell ref="H14:P14"/>
    <mergeCell ref="Q14:Z14"/>
    <mergeCell ref="AA14:AE14"/>
    <mergeCell ref="D15:G15"/>
    <mergeCell ref="H15:P15"/>
    <mergeCell ref="Q15:Z15"/>
    <mergeCell ref="AA15:AE15"/>
    <mergeCell ref="D12:G12"/>
    <mergeCell ref="H12:P12"/>
    <mergeCell ref="Q12:Z12"/>
    <mergeCell ref="AA12:AE12"/>
    <mergeCell ref="D13:G13"/>
    <mergeCell ref="H13:P13"/>
    <mergeCell ref="Q13:Z13"/>
    <mergeCell ref="AA13:AE13"/>
    <mergeCell ref="D11:G11"/>
    <mergeCell ref="H11:P11"/>
    <mergeCell ref="Q11:Z11"/>
    <mergeCell ref="AA11:AE11"/>
    <mergeCell ref="B8:C8"/>
    <mergeCell ref="D8:G8"/>
    <mergeCell ref="H8:P8"/>
    <mergeCell ref="Q8:Z8"/>
    <mergeCell ref="AA8:AE8"/>
    <mergeCell ref="D9:G9"/>
    <mergeCell ref="H9:P9"/>
    <mergeCell ref="Q9:Z9"/>
    <mergeCell ref="AA9:AE9"/>
    <mergeCell ref="B2:AF2"/>
    <mergeCell ref="B3:AE3"/>
    <mergeCell ref="B4:J4"/>
    <mergeCell ref="K4:AE4"/>
    <mergeCell ref="B5:J5"/>
    <mergeCell ref="B6:M6"/>
    <mergeCell ref="D10:G10"/>
    <mergeCell ref="H10:P10"/>
    <mergeCell ref="Q10:Z10"/>
    <mergeCell ref="AA10:AE10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2"/>
  <dimension ref="B1:AF12"/>
  <sheetViews>
    <sheetView view="pageLayout" zoomScale="40" zoomScaleNormal="100" zoomScaleSheetLayoutView="70" zoomScalePageLayoutView="40" workbookViewId="0">
      <selection activeCell="S22" sqref="S22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19" width="2.41796875" style="1" customWidth="1"/>
    <col min="20" max="21" width="3.09375" style="1" customWidth="1"/>
    <col min="22" max="26" width="2.4179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2:32" ht="65.45" customHeight="1" x14ac:dyDescent="0.15"/>
    <row r="2" spans="2:32" ht="18" x14ac:dyDescent="0.2">
      <c r="B2" s="189" t="s">
        <v>91</v>
      </c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</row>
    <row r="3" spans="2:32" ht="20.25" customHeight="1" x14ac:dyDescent="0.15">
      <c r="B3" s="190" t="s">
        <v>105</v>
      </c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0"/>
    </row>
    <row r="4" spans="2:32" s="50" customFormat="1" ht="45.6" customHeight="1" x14ac:dyDescent="0.15">
      <c r="B4" s="96" t="s">
        <v>3</v>
      </c>
      <c r="C4" s="96"/>
      <c r="D4" s="96"/>
      <c r="E4" s="96"/>
      <c r="F4" s="96"/>
      <c r="G4" s="96"/>
      <c r="H4" s="96"/>
      <c r="I4" s="96"/>
      <c r="J4" s="96"/>
      <c r="K4" s="97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6"/>
    </row>
    <row r="5" spans="2:32" s="50" customFormat="1" ht="24.75" customHeight="1" x14ac:dyDescent="0.15">
      <c r="B5" s="96" t="s">
        <v>6</v>
      </c>
      <c r="C5" s="96"/>
      <c r="D5" s="96"/>
      <c r="E5" s="96"/>
      <c r="F5" s="96"/>
      <c r="G5" s="96"/>
      <c r="H5" s="96"/>
      <c r="I5" s="96"/>
      <c r="J5" s="96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2:32" s="50" customFormat="1" ht="21.75" customHeight="1" x14ac:dyDescent="0.15">
      <c r="B6" s="123" t="s">
        <v>98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2:32" ht="12" customHeight="1" x14ac:dyDescent="0.15"/>
    <row r="8" spans="2:32" ht="60.75" customHeight="1" x14ac:dyDescent="0.15">
      <c r="B8" s="192" t="s">
        <v>9</v>
      </c>
      <c r="C8" s="192"/>
      <c r="D8" s="222" t="s">
        <v>104</v>
      </c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4"/>
      <c r="AA8" s="218" t="s">
        <v>12</v>
      </c>
      <c r="AB8" s="219"/>
      <c r="AC8" s="219"/>
      <c r="AD8" s="219"/>
      <c r="AE8" s="220"/>
    </row>
    <row r="9" spans="2:32" ht="18.75" customHeight="1" x14ac:dyDescent="0.15">
      <c r="B9" s="4">
        <v>1</v>
      </c>
      <c r="C9" s="5" t="s">
        <v>13</v>
      </c>
      <c r="D9" s="215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7"/>
      <c r="AA9" s="215"/>
      <c r="AB9" s="216"/>
      <c r="AC9" s="216"/>
      <c r="AD9" s="216"/>
      <c r="AE9" s="217"/>
    </row>
    <row r="10" spans="2:32" ht="15" customHeight="1" x14ac:dyDescent="0.15">
      <c r="B10" s="2"/>
      <c r="C10" s="2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</row>
    <row r="11" spans="2:32" ht="14.25" x14ac:dyDescent="0.15">
      <c r="B11" s="225" t="s">
        <v>14</v>
      </c>
      <c r="C11" s="225"/>
      <c r="D11" s="225"/>
      <c r="E11" s="225"/>
      <c r="F11" s="226"/>
      <c r="G11" s="226"/>
      <c r="H11" s="226"/>
      <c r="I11" s="226"/>
      <c r="J11" s="226"/>
      <c r="K11" s="226"/>
      <c r="L11" s="9"/>
      <c r="M11" s="9"/>
      <c r="N11" s="9"/>
      <c r="O11" s="9"/>
      <c r="P11" s="9"/>
      <c r="Q11" s="2"/>
      <c r="S11" s="105" t="s">
        <v>7</v>
      </c>
      <c r="T11" s="105"/>
      <c r="U11" s="105"/>
      <c r="V11" s="105"/>
      <c r="W11" s="105"/>
      <c r="X11" s="105"/>
      <c r="Y11" s="105"/>
      <c r="Z11" s="227"/>
      <c r="AA11" s="227"/>
      <c r="AB11" s="227"/>
      <c r="AC11" s="227"/>
      <c r="AD11" s="227"/>
      <c r="AE11" s="227"/>
    </row>
    <row r="12" spans="2:32" x14ac:dyDescent="0.15">
      <c r="Z12" s="195" t="s">
        <v>16</v>
      </c>
      <c r="AA12" s="195"/>
      <c r="AB12" s="195"/>
      <c r="AC12" s="195"/>
      <c r="AD12" s="195"/>
      <c r="AE12" s="195"/>
    </row>
  </sheetData>
  <sheetProtection formatCells="0" formatColumns="0" formatRows="0"/>
  <mergeCells count="16">
    <mergeCell ref="B11:E11"/>
    <mergeCell ref="F11:K11"/>
    <mergeCell ref="S11:Y11"/>
    <mergeCell ref="Z11:AE11"/>
    <mergeCell ref="Z12:AE12"/>
    <mergeCell ref="D8:Z8"/>
    <mergeCell ref="D9:Z9"/>
    <mergeCell ref="B8:C8"/>
    <mergeCell ref="AA8:AE8"/>
    <mergeCell ref="AA9:AE9"/>
    <mergeCell ref="B6:M6"/>
    <mergeCell ref="B2:AF2"/>
    <mergeCell ref="B3:AE3"/>
    <mergeCell ref="B4:J4"/>
    <mergeCell ref="K4:AE4"/>
    <mergeCell ref="B5:J5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18</vt:i4>
      </vt:variant>
    </vt:vector>
  </HeadingPairs>
  <TitlesOfParts>
    <vt:vector size="39" baseType="lpstr">
      <vt:lpstr>Инструкция</vt:lpstr>
      <vt:lpstr>Чемп</vt:lpstr>
      <vt:lpstr>Experts</vt:lpstr>
      <vt:lpstr>Competitors</vt:lpstr>
      <vt:lpstr>Э_Рег</vt:lpstr>
      <vt:lpstr>Э_ТОиТБ</vt:lpstr>
      <vt:lpstr>Э_30%</vt:lpstr>
      <vt:lpstr>Э_Ведом</vt:lpstr>
      <vt:lpstr>Э_Роли</vt:lpstr>
      <vt:lpstr>У_Рег</vt:lpstr>
      <vt:lpstr>У_ТОиТБ</vt:lpstr>
      <vt:lpstr>У_Жереб</vt:lpstr>
      <vt:lpstr>У_РабМеста</vt:lpstr>
      <vt:lpstr>Э_РегЕжедн</vt:lpstr>
      <vt:lpstr>У_РегЕжедн</vt:lpstr>
      <vt:lpstr>У_НДок</vt:lpstr>
      <vt:lpstr>У_КДок</vt:lpstr>
      <vt:lpstr>У_Тулбокс</vt:lpstr>
      <vt:lpstr>ВнешСит</vt:lpstr>
      <vt:lpstr>УчетВремени</vt:lpstr>
      <vt:lpstr>ПожБез</vt:lpstr>
      <vt:lpstr>ВнешСит!Область_печати</vt:lpstr>
      <vt:lpstr>ПожБез!Область_печати</vt:lpstr>
      <vt:lpstr>У_Жереб!Область_печати</vt:lpstr>
      <vt:lpstr>У_КДок!Область_печати</vt:lpstr>
      <vt:lpstr>У_НДок!Область_печати</vt:lpstr>
      <vt:lpstr>У_РабМеста!Область_печати</vt:lpstr>
      <vt:lpstr>У_Рег!Область_печати</vt:lpstr>
      <vt:lpstr>У_РегЕжедн!Область_печати</vt:lpstr>
      <vt:lpstr>У_ТОиТБ!Область_печати</vt:lpstr>
      <vt:lpstr>У_Тулбокс!Область_печати</vt:lpstr>
      <vt:lpstr>УчетВремени!Область_печати</vt:lpstr>
      <vt:lpstr>Э_30%!Область_печати</vt:lpstr>
      <vt:lpstr>Э_Ведом!Область_печати</vt:lpstr>
      <vt:lpstr>Э_Рег!Область_печати</vt:lpstr>
      <vt:lpstr>Э_РегЕжедн!Область_печати</vt:lpstr>
      <vt:lpstr>Э_Роли!Область_печати</vt:lpstr>
      <vt:lpstr>Э_ТОиТБ!Область_печати</vt:lpstr>
      <vt:lpstr>Эксперты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Бабушкин</dc:creator>
  <cp:lastModifiedBy>Alexandr Trofimov</cp:lastModifiedBy>
  <cp:lastPrinted>2018-11-12T12:18:31Z</cp:lastPrinted>
  <dcterms:created xsi:type="dcterms:W3CDTF">2017-11-29T06:10:12Z</dcterms:created>
  <dcterms:modified xsi:type="dcterms:W3CDTF">2021-08-09T15:04:51Z</dcterms:modified>
</cp:coreProperties>
</file>